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ac1e6eee89d68bac/Desktop/竹本塗装店/"/>
    </mc:Choice>
  </mc:AlternateContent>
  <xr:revisionPtr revIDLastSave="78" documentId="13_ncr:1_{27896C63-A9B5-435D-86F0-E9A816172135}" xr6:coauthVersionLast="47" xr6:coauthVersionMax="47" xr10:uidLastSave="{ACD043A8-740B-4955-B316-36AF27B1D042}"/>
  <bookViews>
    <workbookView xWindow="-108" yWindow="-108" windowWidth="23256" windowHeight="12456" firstSheet="6" activeTab="12" xr2:uid="{00000000-000D-0000-FFFF-FFFF00000000}"/>
  </bookViews>
  <sheets>
    <sheet name="裕吏建設 (5)" sheetId="7" r:id="rId1"/>
    <sheet name="裕吏建設 (4)" sheetId="6" r:id="rId2"/>
    <sheet name="裕吏建設" sheetId="1" r:id="rId3"/>
    <sheet name="裕吏建設 (3)" sheetId="5" r:id="rId4"/>
    <sheet name="裕吏建設 (2)" sheetId="4" r:id="rId5"/>
    <sheet name="Sheet2" sheetId="10" r:id="rId6"/>
    <sheet name="その他 (2)" sheetId="19" r:id="rId7"/>
    <sheet name="その他" sheetId="16" r:id="rId8"/>
    <sheet name="ワンベスト (2)" sheetId="20" r:id="rId9"/>
    <sheet name="ワンベスト" sheetId="13" r:id="rId10"/>
    <sheet name="八房 (2)" sheetId="22" r:id="rId11"/>
    <sheet name="八房" sheetId="18" r:id="rId12"/>
    <sheet name="八房建設" sheetId="2" r:id="rId13"/>
  </sheets>
  <definedNames>
    <definedName name="_xlnm._FilterDatabase" localSheetId="7" hidden="1">その他!$AV$8:$AV$9</definedName>
    <definedName name="_xlnm._FilterDatabase" localSheetId="6" hidden="1">'その他 (2)'!$AV$8:$AV$9</definedName>
    <definedName name="_xlnm._FilterDatabase" localSheetId="9" hidden="1">ワンベスト!$AV$8:$AV$9</definedName>
    <definedName name="_xlnm._FilterDatabase" localSheetId="8" hidden="1">'ワンベスト (2)'!$AV$8:$AV$9</definedName>
    <definedName name="_xlnm._FilterDatabase" localSheetId="11" hidden="1">八房!$AV$8:$AV$9</definedName>
    <definedName name="_xlnm._FilterDatabase" localSheetId="10" hidden="1">'八房 (2)'!$AV$8:$AV$9</definedName>
    <definedName name="_xlnm._FilterDatabase" localSheetId="12" hidden="1">八房建設!$AV$8:$AV$9</definedName>
    <definedName name="_xlnm._FilterDatabase" localSheetId="2" hidden="1">裕吏建設!$AV$8:$AV$9</definedName>
    <definedName name="_xlnm._FilterDatabase" localSheetId="4" hidden="1">'裕吏建設 (2)'!$AV$8:$AV$9</definedName>
    <definedName name="_xlnm._FilterDatabase" localSheetId="3" hidden="1">'裕吏建設 (3)'!$AV$8:$AV$9</definedName>
    <definedName name="_xlnm._FilterDatabase" localSheetId="1" hidden="1">'裕吏建設 (4)'!$AV$8:$AV$9</definedName>
    <definedName name="_xlnm._FilterDatabase" localSheetId="0" hidden="1">'裕吏建設 (5)'!$AV$8:$AV$9</definedName>
    <definedName name="exclusive" localSheetId="7">その他!$AZ$6</definedName>
    <definedName name="exclusive" localSheetId="6">'その他 (2)'!$AZ$6</definedName>
    <definedName name="exclusive" localSheetId="9">ワンベスト!$AZ$6</definedName>
    <definedName name="exclusive" localSheetId="8">'ワンベスト (2)'!$AZ$6</definedName>
    <definedName name="exclusive" localSheetId="11">八房!$AZ$6</definedName>
    <definedName name="exclusive" localSheetId="10">'八房 (2)'!$AZ$6</definedName>
    <definedName name="exclusive" localSheetId="12">八房建設!$AZ$6</definedName>
    <definedName name="exclusive" localSheetId="4">'裕吏建設 (2)'!$AZ$6</definedName>
    <definedName name="exclusive" localSheetId="3">'裕吏建設 (3)'!$AZ$6</definedName>
    <definedName name="exclusive" localSheetId="1">'裕吏建設 (4)'!$AZ$6</definedName>
    <definedName name="exclusive" localSheetId="0">'裕吏建設 (5)'!$AZ$6</definedName>
    <definedName name="exclusive">裕吏建設!$AZ$6</definedName>
    <definedName name="inclusive" localSheetId="7">その他!$AY$6</definedName>
    <definedName name="inclusive" localSheetId="6">'その他 (2)'!$AY$6</definedName>
    <definedName name="inclusive" localSheetId="9">ワンベスト!$AY$6</definedName>
    <definedName name="inclusive" localSheetId="8">'ワンベスト (2)'!$AY$6</definedName>
    <definedName name="inclusive" localSheetId="11">八房!$AY$6</definedName>
    <definedName name="inclusive" localSheetId="10">'八房 (2)'!$AY$6</definedName>
    <definedName name="inclusive" localSheetId="12">八房建設!$AY$6</definedName>
    <definedName name="inclusive" localSheetId="4">'裕吏建設 (2)'!$AY$6</definedName>
    <definedName name="inclusive" localSheetId="3">'裕吏建設 (3)'!$AY$6</definedName>
    <definedName name="inclusive" localSheetId="1">'裕吏建設 (4)'!$AY$6</definedName>
    <definedName name="inclusive" localSheetId="0">'裕吏建設 (5)'!$AY$6</definedName>
    <definedName name="inclusive">裕吏建設!$AY$6</definedName>
    <definedName name="kigenDay" localSheetId="7">その他!$AU$23</definedName>
    <definedName name="kigenDay" localSheetId="6">'その他 (2)'!$AU$23</definedName>
    <definedName name="kigenDay" localSheetId="9">ワンベスト!$AU$23</definedName>
    <definedName name="kigenDay" localSheetId="8">'ワンベスト (2)'!$AU$23</definedName>
    <definedName name="kigenDay" localSheetId="11">八房!$AU$23</definedName>
    <definedName name="kigenDay" localSheetId="10">'八房 (2)'!$AU$23</definedName>
    <definedName name="kigenDay" localSheetId="12">八房建設!$AU$23</definedName>
    <definedName name="kigenDay" localSheetId="4">'裕吏建設 (2)'!$AU$23</definedName>
    <definedName name="kigenDay" localSheetId="3">'裕吏建設 (3)'!$AU$23</definedName>
    <definedName name="kigenDay" localSheetId="1">'裕吏建設 (4)'!$AU$23</definedName>
    <definedName name="kigenDay" localSheetId="0">'裕吏建設 (5)'!$AU$23</definedName>
    <definedName name="kigenDay">裕吏建設!$AU$23</definedName>
    <definedName name="kigenMonth" localSheetId="7">その他!$AU$22</definedName>
    <definedName name="kigenMonth" localSheetId="6">'その他 (2)'!$AU$22</definedName>
    <definedName name="kigenMonth" localSheetId="9">ワンベスト!$AU$22</definedName>
    <definedName name="kigenMonth" localSheetId="8">'ワンベスト (2)'!$AU$22</definedName>
    <definedName name="kigenMonth" localSheetId="11">八房!$AU$22</definedName>
    <definedName name="kigenMonth" localSheetId="10">'八房 (2)'!$AU$22</definedName>
    <definedName name="kigenMonth" localSheetId="12">八房建設!$AU$22</definedName>
    <definedName name="kigenMonth" localSheetId="4">'裕吏建設 (2)'!$AU$22</definedName>
    <definedName name="kigenMonth" localSheetId="3">'裕吏建設 (3)'!$AU$22</definedName>
    <definedName name="kigenMonth" localSheetId="1">'裕吏建設 (4)'!$AU$22</definedName>
    <definedName name="kigenMonth" localSheetId="0">'裕吏建設 (5)'!$AU$22</definedName>
    <definedName name="kigenMonth">裕吏建設!$AU$22</definedName>
    <definedName name="kigenYear" localSheetId="7">その他!$AU$21</definedName>
    <definedName name="kigenYear" localSheetId="6">'その他 (2)'!$AU$21</definedName>
    <definedName name="kigenYear" localSheetId="9">ワンベスト!$AU$21</definedName>
    <definedName name="kigenYear" localSheetId="8">'ワンベスト (2)'!$AU$21</definedName>
    <definedName name="kigenYear" localSheetId="11">八房!$AU$21</definedName>
    <definedName name="kigenYear" localSheetId="10">'八房 (2)'!$AU$21</definedName>
    <definedName name="kigenYear" localSheetId="12">八房建設!$AU$21</definedName>
    <definedName name="kigenYear" localSheetId="4">'裕吏建設 (2)'!$AU$21</definedName>
    <definedName name="kigenYear" localSheetId="3">'裕吏建設 (3)'!$AU$21</definedName>
    <definedName name="kigenYear" localSheetId="1">'裕吏建設 (4)'!$AU$21</definedName>
    <definedName name="kigenYear" localSheetId="0">'裕吏建設 (5)'!$AU$21</definedName>
    <definedName name="kigenYear">裕吏建設!$AU$21</definedName>
    <definedName name="nohinDay" localSheetId="7">その他!$AU$19</definedName>
    <definedName name="nohinDay" localSheetId="6">'その他 (2)'!$AU$19</definedName>
    <definedName name="nohinDay" localSheetId="9">ワンベスト!$AU$19</definedName>
    <definedName name="nohinDay" localSheetId="8">'ワンベスト (2)'!$AU$19</definedName>
    <definedName name="nohinDay" localSheetId="11">八房!$AU$19</definedName>
    <definedName name="nohinDay" localSheetId="10">'八房 (2)'!$AU$19</definedName>
    <definedName name="nohinDay" localSheetId="12">八房建設!$AU$19</definedName>
    <definedName name="nohinDay" localSheetId="4">'裕吏建設 (2)'!$AU$19</definedName>
    <definedName name="nohinDay" localSheetId="3">'裕吏建設 (3)'!$AU$19</definedName>
    <definedName name="nohinDay" localSheetId="1">'裕吏建設 (4)'!$AU$19</definedName>
    <definedName name="nohinDay" localSheetId="0">'裕吏建設 (5)'!$AU$19</definedName>
    <definedName name="nohinDay">裕吏建設!$AU$19</definedName>
    <definedName name="nohinDay2" localSheetId="7">その他!$BD$19</definedName>
    <definedName name="nohinDay2" localSheetId="6">'その他 (2)'!$BD$19</definedName>
    <definedName name="nohinDay2" localSheetId="9">ワンベスト!$BD$19</definedName>
    <definedName name="nohinDay2" localSheetId="8">'ワンベスト (2)'!$BD$19</definedName>
    <definedName name="nohinDay2" localSheetId="11">八房!$BD$19</definedName>
    <definedName name="nohinDay2" localSheetId="10">'八房 (2)'!$BD$19</definedName>
    <definedName name="nohinDay2" localSheetId="12">八房建設!$BD$19</definedName>
    <definedName name="nohinDay2" localSheetId="4">'裕吏建設 (2)'!$BD$19</definedName>
    <definedName name="nohinDay2" localSheetId="3">'裕吏建設 (3)'!$BD$19</definedName>
    <definedName name="nohinDay2" localSheetId="1">'裕吏建設 (4)'!$BD$19</definedName>
    <definedName name="nohinDay2" localSheetId="0">'裕吏建設 (5)'!$BD$19</definedName>
    <definedName name="nohinDay2">裕吏建設!$BD$19</definedName>
    <definedName name="nohinMonth" localSheetId="7">その他!$AU$18</definedName>
    <definedName name="nohinMonth" localSheetId="6">'その他 (2)'!$AU$18</definedName>
    <definedName name="nohinMonth" localSheetId="9">ワンベスト!$AU$18</definedName>
    <definedName name="nohinMonth" localSheetId="8">'ワンベスト (2)'!$AU$18</definedName>
    <definedName name="nohinMonth" localSheetId="11">八房!$AU$18</definedName>
    <definedName name="nohinMonth" localSheetId="10">'八房 (2)'!$AU$18</definedName>
    <definedName name="nohinMonth" localSheetId="12">八房建設!$AU$18</definedName>
    <definedName name="nohinMonth" localSheetId="4">'裕吏建設 (2)'!$AU$18</definedName>
    <definedName name="nohinMonth" localSheetId="3">'裕吏建設 (3)'!$AU$18</definedName>
    <definedName name="nohinMonth" localSheetId="1">'裕吏建設 (4)'!$AU$18</definedName>
    <definedName name="nohinMonth" localSheetId="0">'裕吏建設 (5)'!$AU$18</definedName>
    <definedName name="nohinMonth">裕吏建設!$AU$18</definedName>
    <definedName name="nohinMonth2" localSheetId="7">その他!$BD$18</definedName>
    <definedName name="nohinMonth2" localSheetId="6">'その他 (2)'!$BD$18</definedName>
    <definedName name="nohinMonth2" localSheetId="9">ワンベスト!$BD$18</definedName>
    <definedName name="nohinMonth2" localSheetId="8">'ワンベスト (2)'!$BD$18</definedName>
    <definedName name="nohinMonth2" localSheetId="11">八房!$BD$18</definedName>
    <definedName name="nohinMonth2" localSheetId="10">'八房 (2)'!$BD$18</definedName>
    <definedName name="nohinMonth2" localSheetId="12">八房建設!$BD$18</definedName>
    <definedName name="nohinMonth2" localSheetId="4">'裕吏建設 (2)'!$BD$18</definedName>
    <definedName name="nohinMonth2" localSheetId="3">'裕吏建設 (3)'!$BD$18</definedName>
    <definedName name="nohinMonth2" localSheetId="1">'裕吏建設 (4)'!$BD$18</definedName>
    <definedName name="nohinMonth2" localSheetId="0">'裕吏建設 (5)'!$BD$18</definedName>
    <definedName name="nohinMonth2">裕吏建設!$BD$18</definedName>
    <definedName name="nohinYear" localSheetId="7">その他!$AU$17</definedName>
    <definedName name="nohinYear" localSheetId="6">'その他 (2)'!$AU$17</definedName>
    <definedName name="nohinYear" localSheetId="9">ワンベスト!$AU$17</definedName>
    <definedName name="nohinYear" localSheetId="8">'ワンベスト (2)'!$AU$17</definedName>
    <definedName name="nohinYear" localSheetId="11">八房!$AU$17</definedName>
    <definedName name="nohinYear" localSheetId="10">'八房 (2)'!$AU$17</definedName>
    <definedName name="nohinYear" localSheetId="12">八房建設!$AU$17</definedName>
    <definedName name="nohinYear" localSheetId="4">'裕吏建設 (2)'!$AU$17</definedName>
    <definedName name="nohinYear" localSheetId="3">'裕吏建設 (3)'!$AU$17</definedName>
    <definedName name="nohinYear" localSheetId="1">'裕吏建設 (4)'!$AU$17</definedName>
    <definedName name="nohinYear" localSheetId="0">'裕吏建設 (5)'!$AU$17</definedName>
    <definedName name="nohinYear">裕吏建設!$AU$17</definedName>
    <definedName name="nohinYear2" localSheetId="7">その他!$BD$17</definedName>
    <definedName name="nohinYear2" localSheetId="6">'その他 (2)'!$BD$17</definedName>
    <definedName name="nohinYear2" localSheetId="9">ワンベスト!$BD$17</definedName>
    <definedName name="nohinYear2" localSheetId="8">'ワンベスト (2)'!$BD$17</definedName>
    <definedName name="nohinYear2" localSheetId="11">八房!$BD$17</definedName>
    <definedName name="nohinYear2" localSheetId="10">'八房 (2)'!$BD$17</definedName>
    <definedName name="nohinYear2" localSheetId="12">八房建設!$BD$17</definedName>
    <definedName name="nohinYear2" localSheetId="4">'裕吏建設 (2)'!$BD$17</definedName>
    <definedName name="nohinYear2" localSheetId="3">'裕吏建設 (3)'!$BD$17</definedName>
    <definedName name="nohinYear2" localSheetId="1">'裕吏建設 (4)'!$BD$17</definedName>
    <definedName name="nohinYear2" localSheetId="0">'裕吏建設 (5)'!$BD$17</definedName>
    <definedName name="nohinYear2">裕吏建設!$BD$17</definedName>
    <definedName name="_xlnm.Print_Area" localSheetId="7">その他!$B$2:$AM$63</definedName>
    <definedName name="_xlnm.Print_Area" localSheetId="6">'その他 (2)'!$B$2:$AM$63</definedName>
    <definedName name="_xlnm.Print_Area" localSheetId="9">ワンベスト!$B$2:$AM$63</definedName>
    <definedName name="_xlnm.Print_Area" localSheetId="8">'ワンベスト (2)'!$B$2:$AM$63</definedName>
    <definedName name="_xlnm.Print_Area" localSheetId="11">八房!$B$2:$AM$63</definedName>
    <definedName name="_xlnm.Print_Area" localSheetId="10">'八房 (2)'!$B$2:$AM$63</definedName>
    <definedName name="_xlnm.Print_Area" localSheetId="12">八房建設!$B$2:$AM$63</definedName>
    <definedName name="_xlnm.Print_Area" localSheetId="2">裕吏建設!$B$2:$AM$63</definedName>
    <definedName name="_xlnm.Print_Area" localSheetId="4">'裕吏建設 (2)'!$B$2:$AM$63</definedName>
    <definedName name="_xlnm.Print_Area" localSheetId="3">'裕吏建設 (3)'!$B$2:$AM$63</definedName>
    <definedName name="_xlnm.Print_Area" localSheetId="1">'裕吏建設 (4)'!$B$2:$AM$63</definedName>
    <definedName name="_xlnm.Print_Area" localSheetId="0">'裕吏建設 (5)'!$B$2:$AM$63</definedName>
    <definedName name="printDay" localSheetId="7">その他!$AU$13</definedName>
    <definedName name="printDay" localSheetId="6">'その他 (2)'!$AU$13</definedName>
    <definedName name="printDay" localSheetId="9">ワンベスト!$AU$13</definedName>
    <definedName name="printDay" localSheetId="8">'ワンベスト (2)'!$AU$13</definedName>
    <definedName name="printDay" localSheetId="11">八房!$AU$13</definedName>
    <definedName name="printDay" localSheetId="10">'八房 (2)'!$AU$13</definedName>
    <definedName name="printDay" localSheetId="12">八房建設!$AU$13</definedName>
    <definedName name="printDay" localSheetId="4">'裕吏建設 (2)'!$AU$13</definedName>
    <definedName name="printDay" localSheetId="3">'裕吏建設 (3)'!$AU$13</definedName>
    <definedName name="printDay" localSheetId="1">'裕吏建設 (4)'!$AU$13</definedName>
    <definedName name="printDay" localSheetId="0">'裕吏建設 (5)'!$AU$13</definedName>
    <definedName name="printDay">裕吏建設!$AU$13</definedName>
    <definedName name="printMonth" localSheetId="7">その他!$AU$12</definedName>
    <definedName name="printMonth" localSheetId="6">'その他 (2)'!$AU$12</definedName>
    <definedName name="printMonth" localSheetId="9">ワンベスト!$AU$12</definedName>
    <definedName name="printMonth" localSheetId="8">'ワンベスト (2)'!$AU$12</definedName>
    <definedName name="printMonth" localSheetId="11">八房!$AU$12</definedName>
    <definedName name="printMonth" localSheetId="10">'八房 (2)'!$AU$12</definedName>
    <definedName name="printMonth" localSheetId="12">八房建設!$AU$12</definedName>
    <definedName name="printMonth" localSheetId="4">'裕吏建設 (2)'!$AU$12</definedName>
    <definedName name="printMonth" localSheetId="3">'裕吏建設 (3)'!$AU$12</definedName>
    <definedName name="printMonth" localSheetId="1">'裕吏建設 (4)'!$AU$12</definedName>
    <definedName name="printMonth" localSheetId="0">'裕吏建設 (5)'!$AU$12</definedName>
    <definedName name="printMonth">裕吏建設!$AU$12</definedName>
    <definedName name="printNo" localSheetId="7">その他!$AU$15</definedName>
    <definedName name="printNo" localSheetId="6">'その他 (2)'!$AU$15</definedName>
    <definedName name="printNo" localSheetId="9">ワンベスト!$AU$15</definedName>
    <definedName name="printNo" localSheetId="8">'ワンベスト (2)'!$AU$15</definedName>
    <definedName name="printNo" localSheetId="11">八房!$AU$15</definedName>
    <definedName name="printNo" localSheetId="10">'八房 (2)'!$AU$15</definedName>
    <definedName name="printNo" localSheetId="12">八房建設!$AU$15</definedName>
    <definedName name="printNo" localSheetId="4">'裕吏建設 (2)'!$AU$15</definedName>
    <definedName name="printNo" localSheetId="3">'裕吏建設 (3)'!$AU$15</definedName>
    <definedName name="printNo" localSheetId="1">'裕吏建設 (4)'!$AU$15</definedName>
    <definedName name="printNo" localSheetId="0">'裕吏建設 (5)'!$AU$15</definedName>
    <definedName name="printNo">裕吏建設!$AU$15</definedName>
    <definedName name="printYear" localSheetId="7">その他!$AU$11</definedName>
    <definedName name="printYear" localSheetId="6">'その他 (2)'!$AU$11</definedName>
    <definedName name="printYear" localSheetId="9">ワンベスト!$AU$11</definedName>
    <definedName name="printYear" localSheetId="8">'ワンベスト (2)'!$AU$11</definedName>
    <definedName name="printYear" localSheetId="11">八房!$AU$11</definedName>
    <definedName name="printYear" localSheetId="10">'八房 (2)'!$AU$11</definedName>
    <definedName name="printYear" localSheetId="12">八房建設!$AU$11</definedName>
    <definedName name="printYear" localSheetId="4">'裕吏建設 (2)'!$AU$11</definedName>
    <definedName name="printYear" localSheetId="3">'裕吏建設 (3)'!$AU$11</definedName>
    <definedName name="printYear" localSheetId="1">'裕吏建設 (4)'!$AU$11</definedName>
    <definedName name="printYear" localSheetId="0">'裕吏建設 (5)'!$AU$11</definedName>
    <definedName name="printYear">裕吏建設!$AU$11</definedName>
    <definedName name="round" localSheetId="7">その他!$AZ$10</definedName>
    <definedName name="round" localSheetId="6">'その他 (2)'!$AZ$10</definedName>
    <definedName name="round" localSheetId="9">ワンベスト!$AZ$10</definedName>
    <definedName name="round" localSheetId="8">'ワンベスト (2)'!$AZ$10</definedName>
    <definedName name="round" localSheetId="11">八房!$AZ$10</definedName>
    <definedName name="round" localSheetId="10">'八房 (2)'!$AZ$10</definedName>
    <definedName name="round" localSheetId="12">八房建設!$AZ$10</definedName>
    <definedName name="round" localSheetId="4">'裕吏建設 (2)'!$AZ$10</definedName>
    <definedName name="round" localSheetId="3">'裕吏建設 (3)'!$AZ$10</definedName>
    <definedName name="round" localSheetId="1">'裕吏建設 (4)'!$AZ$10</definedName>
    <definedName name="round" localSheetId="0">'裕吏建設 (5)'!$AZ$10</definedName>
    <definedName name="round">裕吏建設!$AZ$10</definedName>
    <definedName name="roundDown" localSheetId="7">その他!$BA$9</definedName>
    <definedName name="roundDown" localSheetId="6">'その他 (2)'!$BA$9</definedName>
    <definedName name="roundDown" localSheetId="9">ワンベスト!$BA$9</definedName>
    <definedName name="roundDown" localSheetId="8">'ワンベスト (2)'!$BA$9</definedName>
    <definedName name="roundDown" localSheetId="11">八房!$BA$9</definedName>
    <definedName name="roundDown" localSheetId="10">'八房 (2)'!$BA$9</definedName>
    <definedName name="roundDown" localSheetId="12">八房建設!$BA$9</definedName>
    <definedName name="roundDown" localSheetId="4">'裕吏建設 (2)'!$BA$9</definedName>
    <definedName name="roundDown" localSheetId="3">'裕吏建設 (3)'!$BA$9</definedName>
    <definedName name="roundDown" localSheetId="1">'裕吏建設 (4)'!$BA$9</definedName>
    <definedName name="roundDown" localSheetId="0">'裕吏建設 (5)'!$BA$9</definedName>
    <definedName name="roundDown">裕吏建設!$BA$9</definedName>
    <definedName name="roundType" localSheetId="7">その他!$AU$9</definedName>
    <definedName name="roundType" localSheetId="6">'その他 (2)'!$AU$9</definedName>
    <definedName name="roundType" localSheetId="9">ワンベスト!$AU$9</definedName>
    <definedName name="roundType" localSheetId="8">'ワンベスト (2)'!$AU$9</definedName>
    <definedName name="roundType" localSheetId="11">八房!$AU$9</definedName>
    <definedName name="roundType" localSheetId="10">'八房 (2)'!$AU$9</definedName>
    <definedName name="roundType" localSheetId="12">八房建設!$AU$9</definedName>
    <definedName name="roundType" localSheetId="4">'裕吏建設 (2)'!$AU$9</definedName>
    <definedName name="roundType" localSheetId="3">'裕吏建設 (3)'!$AU$9</definedName>
    <definedName name="roundType" localSheetId="1">'裕吏建設 (4)'!$AU$9</definedName>
    <definedName name="roundType" localSheetId="0">'裕吏建設 (5)'!$AU$9</definedName>
    <definedName name="roundType">裕吏建設!$AU$9</definedName>
    <definedName name="roundUp" localSheetId="7">その他!$AY$9</definedName>
    <definedName name="roundUp" localSheetId="6">'その他 (2)'!$AY$9</definedName>
    <definedName name="roundUp" localSheetId="9">ワンベスト!$AY$9</definedName>
    <definedName name="roundUp" localSheetId="8">'ワンベスト (2)'!$AY$9</definedName>
    <definedName name="roundUp" localSheetId="11">八房!$AY$9</definedName>
    <definedName name="roundUp" localSheetId="10">'八房 (2)'!$AY$9</definedName>
    <definedName name="roundUp" localSheetId="12">八房建設!$AY$9</definedName>
    <definedName name="roundUp" localSheetId="4">'裕吏建設 (2)'!$AY$9</definedName>
    <definedName name="roundUp" localSheetId="3">'裕吏建設 (3)'!$AY$9</definedName>
    <definedName name="roundUp" localSheetId="1">'裕吏建設 (4)'!$AY$9</definedName>
    <definedName name="roundUp" localSheetId="0">'裕吏建設 (5)'!$AY$9</definedName>
    <definedName name="roundUp">裕吏建設!$AY$9</definedName>
    <definedName name="taxRate" localSheetId="7">その他!$AU$7</definedName>
    <definedName name="taxRate" localSheetId="6">'その他 (2)'!$AU$7</definedName>
    <definedName name="taxRate" localSheetId="9">ワンベスト!$AU$7</definedName>
    <definedName name="taxRate" localSheetId="8">'ワンベスト (2)'!$AU$7</definedName>
    <definedName name="taxRate" localSheetId="11">八房!$AU$7</definedName>
    <definedName name="taxRate" localSheetId="10">'八房 (2)'!$AU$7</definedName>
    <definedName name="taxRate" localSheetId="12">八房建設!$AU$7</definedName>
    <definedName name="taxRate" localSheetId="4">'裕吏建設 (2)'!$AU$7</definedName>
    <definedName name="taxRate" localSheetId="3">'裕吏建設 (3)'!$AU$7</definedName>
    <definedName name="taxRate" localSheetId="1">'裕吏建設 (4)'!$AU$7</definedName>
    <definedName name="taxRate" localSheetId="0">'裕吏建設 (5)'!$AU$7</definedName>
    <definedName name="taxRate">裕吏建設!$AU$7</definedName>
    <definedName name="taxType" localSheetId="7">その他!$AU$6</definedName>
    <definedName name="taxType" localSheetId="6">'その他 (2)'!$AU$6</definedName>
    <definedName name="taxType" localSheetId="9">ワンベスト!$AU$6</definedName>
    <definedName name="taxType" localSheetId="8">'ワンベスト (2)'!$AU$6</definedName>
    <definedName name="taxType" localSheetId="11">八房!$AU$6</definedName>
    <definedName name="taxType" localSheetId="10">'八房 (2)'!$AU$6</definedName>
    <definedName name="taxType" localSheetId="12">八房建設!$AU$6</definedName>
    <definedName name="taxType" localSheetId="4">'裕吏建設 (2)'!$AU$6</definedName>
    <definedName name="taxType" localSheetId="3">'裕吏建設 (3)'!$AU$6</definedName>
    <definedName name="taxType" localSheetId="1">'裕吏建設 (4)'!$AU$6</definedName>
    <definedName name="taxType" localSheetId="0">'裕吏建設 (5)'!$AU$6</definedName>
    <definedName name="taxType">裕吏建設!$AU$6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6" i="16" l="1"/>
  <c r="AA47" i="16"/>
  <c r="AA45" i="16"/>
  <c r="K26" i="22"/>
  <c r="S24" i="22"/>
  <c r="K24" i="22"/>
  <c r="BA9" i="22"/>
  <c r="AZ9" i="22"/>
  <c r="AY9" i="22"/>
  <c r="AA43" i="22" s="1"/>
  <c r="BA6" i="22"/>
  <c r="AZ6" i="22"/>
  <c r="AY6" i="22"/>
  <c r="W28" i="22" s="1"/>
  <c r="AC5" i="22"/>
  <c r="K26" i="20"/>
  <c r="S24" i="20"/>
  <c r="K24" i="20"/>
  <c r="BA9" i="20"/>
  <c r="AZ9" i="20"/>
  <c r="AY9" i="20"/>
  <c r="AA43" i="20" s="1"/>
  <c r="BA6" i="20"/>
  <c r="AZ6" i="20"/>
  <c r="AY6" i="20"/>
  <c r="AC5" i="20"/>
  <c r="B5" i="20"/>
  <c r="K26" i="19"/>
  <c r="S24" i="19"/>
  <c r="K24" i="19"/>
  <c r="BA9" i="19"/>
  <c r="AZ9" i="19"/>
  <c r="AY9" i="19"/>
  <c r="AA52" i="19" s="1"/>
  <c r="BA6" i="19"/>
  <c r="AZ6" i="19"/>
  <c r="AY6" i="19"/>
  <c r="AC5" i="19"/>
  <c r="AC5" i="16"/>
  <c r="K24" i="16"/>
  <c r="S24" i="16"/>
  <c r="K26" i="16"/>
  <c r="K26" i="18"/>
  <c r="S24" i="18"/>
  <c r="K24" i="18"/>
  <c r="BA9" i="18"/>
  <c r="AZ9" i="18"/>
  <c r="AY9" i="18"/>
  <c r="AA43" i="18" s="1"/>
  <c r="BA6" i="18"/>
  <c r="AZ6" i="18"/>
  <c r="AY6" i="18"/>
  <c r="AC5" i="18"/>
  <c r="BA9" i="16"/>
  <c r="AZ9" i="16"/>
  <c r="AY9" i="16"/>
  <c r="AA34" i="16" s="1"/>
  <c r="BA6" i="16"/>
  <c r="AZ6" i="16"/>
  <c r="AY6" i="16"/>
  <c r="K26" i="13"/>
  <c r="S24" i="13"/>
  <c r="K24" i="13"/>
  <c r="BA9" i="13"/>
  <c r="AZ9" i="13"/>
  <c r="AY9" i="13"/>
  <c r="AA43" i="13" s="1"/>
  <c r="BA6" i="13"/>
  <c r="AZ6" i="13"/>
  <c r="AY6" i="13"/>
  <c r="AC5" i="13"/>
  <c r="B5" i="13"/>
  <c r="K26" i="7"/>
  <c r="S24" i="7"/>
  <c r="K24" i="7"/>
  <c r="BA9" i="7"/>
  <c r="AZ9" i="7"/>
  <c r="AY9" i="7"/>
  <c r="AA44" i="7" s="1"/>
  <c r="BA6" i="7"/>
  <c r="AZ6" i="7"/>
  <c r="AY6" i="7"/>
  <c r="AC5" i="7"/>
  <c r="B5" i="7"/>
  <c r="K26" i="6"/>
  <c r="S24" i="6"/>
  <c r="K24" i="6"/>
  <c r="BA9" i="6"/>
  <c r="AZ9" i="6"/>
  <c r="AY9" i="6"/>
  <c r="AA44" i="6" s="1"/>
  <c r="BA6" i="6"/>
  <c r="AZ6" i="6"/>
  <c r="AY6" i="6"/>
  <c r="AC5" i="6"/>
  <c r="B5" i="6"/>
  <c r="K26" i="5"/>
  <c r="S24" i="5"/>
  <c r="K24" i="5"/>
  <c r="BA9" i="5"/>
  <c r="AZ9" i="5"/>
  <c r="AY9" i="5"/>
  <c r="AA44" i="5" s="1"/>
  <c r="BA6" i="5"/>
  <c r="AZ6" i="5"/>
  <c r="AY6" i="5"/>
  <c r="AC5" i="5"/>
  <c r="B5" i="5"/>
  <c r="K26" i="4"/>
  <c r="S24" i="4"/>
  <c r="K24" i="4"/>
  <c r="BA9" i="4"/>
  <c r="AZ9" i="4"/>
  <c r="AY9" i="4"/>
  <c r="AA44" i="4" s="1"/>
  <c r="BA6" i="4"/>
  <c r="AZ6" i="4"/>
  <c r="AY6" i="4"/>
  <c r="AC5" i="4"/>
  <c r="B5" i="4"/>
  <c r="K26" i="2"/>
  <c r="S24" i="2"/>
  <c r="K24" i="2"/>
  <c r="BA9" i="2"/>
  <c r="AZ9" i="2"/>
  <c r="AY9" i="2"/>
  <c r="AA42" i="2" s="1"/>
  <c r="BA6" i="2"/>
  <c r="AZ6" i="2"/>
  <c r="AY6" i="2"/>
  <c r="AC5" i="2"/>
  <c r="S24" i="1"/>
  <c r="AA28" i="16" l="1"/>
  <c r="AA28" i="22"/>
  <c r="AA35" i="18"/>
  <c r="AA43" i="19"/>
  <c r="AA34" i="18"/>
  <c r="AA33" i="18"/>
  <c r="AA32" i="18"/>
  <c r="AA31" i="18"/>
  <c r="AA30" i="18"/>
  <c r="AA29" i="18"/>
  <c r="AA45" i="22"/>
  <c r="AA32" i="22"/>
  <c r="AA34" i="22"/>
  <c r="AA46" i="22"/>
  <c r="AA41" i="16"/>
  <c r="AA36" i="22"/>
  <c r="AA48" i="22"/>
  <c r="AA44" i="22"/>
  <c r="AA42" i="16"/>
  <c r="AA40" i="16"/>
  <c r="AA37" i="22"/>
  <c r="AA49" i="22"/>
  <c r="AA30" i="16"/>
  <c r="AA38" i="22"/>
  <c r="AA50" i="22"/>
  <c r="AA33" i="22"/>
  <c r="AA47" i="22"/>
  <c r="AA29" i="16"/>
  <c r="AA39" i="22"/>
  <c r="AA51" i="22"/>
  <c r="AA40" i="22"/>
  <c r="AA52" i="22"/>
  <c r="AA35" i="22"/>
  <c r="AA29" i="22"/>
  <c r="AA41" i="22"/>
  <c r="AA53" i="22"/>
  <c r="AA30" i="22"/>
  <c r="AA42" i="22"/>
  <c r="AA31" i="22"/>
  <c r="AA30" i="19"/>
  <c r="AA33" i="16"/>
  <c r="AA31" i="19"/>
  <c r="AA32" i="16"/>
  <c r="AA42" i="19"/>
  <c r="AA31" i="16"/>
  <c r="AA28" i="20"/>
  <c r="AA39" i="16"/>
  <c r="W28" i="16"/>
  <c r="AA38" i="16"/>
  <c r="AA52" i="16"/>
  <c r="AA37" i="16"/>
  <c r="AA36" i="16"/>
  <c r="AA35" i="16"/>
  <c r="AA29" i="19"/>
  <c r="AA32" i="20"/>
  <c r="AA44" i="20"/>
  <c r="AA33" i="20"/>
  <c r="AA45" i="20"/>
  <c r="AA34" i="20"/>
  <c r="AA46" i="20"/>
  <c r="AA28" i="19"/>
  <c r="AA41" i="19"/>
  <c r="AA35" i="20"/>
  <c r="AA47" i="20"/>
  <c r="AA36" i="20"/>
  <c r="AA48" i="20"/>
  <c r="AA37" i="20"/>
  <c r="AA49" i="20"/>
  <c r="AA53" i="19"/>
  <c r="AA38" i="20"/>
  <c r="AA50" i="20"/>
  <c r="W28" i="20"/>
  <c r="AA39" i="20"/>
  <c r="AA51" i="20"/>
  <c r="AA40" i="20"/>
  <c r="AA52" i="20"/>
  <c r="AA29" i="20"/>
  <c r="AA41" i="20"/>
  <c r="AA53" i="20"/>
  <c r="AA30" i="20"/>
  <c r="AA42" i="20"/>
  <c r="AA31" i="20"/>
  <c r="AA32" i="19"/>
  <c r="AA44" i="19"/>
  <c r="AA33" i="19"/>
  <c r="AA45" i="19"/>
  <c r="AA34" i="19"/>
  <c r="AA46" i="19"/>
  <c r="AA28" i="18"/>
  <c r="AA35" i="19"/>
  <c r="AA47" i="19"/>
  <c r="AA36" i="19"/>
  <c r="AA48" i="19"/>
  <c r="AA37" i="19"/>
  <c r="AA49" i="19"/>
  <c r="AA38" i="19"/>
  <c r="AA50" i="19"/>
  <c r="W28" i="19"/>
  <c r="AA39" i="19"/>
  <c r="AA51" i="19"/>
  <c r="AA40" i="19"/>
  <c r="AA51" i="16"/>
  <c r="AA50" i="16"/>
  <c r="AA49" i="16"/>
  <c r="AA48" i="16"/>
  <c r="AA44" i="16"/>
  <c r="AA53" i="16"/>
  <c r="AA43" i="16"/>
  <c r="AA44" i="18"/>
  <c r="AA45" i="18"/>
  <c r="AA46" i="18"/>
  <c r="AA47" i="18"/>
  <c r="AA36" i="18"/>
  <c r="AA48" i="18"/>
  <c r="AA37" i="18"/>
  <c r="AA49" i="18"/>
  <c r="AA38" i="18"/>
  <c r="AA50" i="18"/>
  <c r="W28" i="18"/>
  <c r="AA39" i="18"/>
  <c r="AA51" i="18"/>
  <c r="AA40" i="18"/>
  <c r="AA52" i="18"/>
  <c r="AA41" i="18"/>
  <c r="AA53" i="18"/>
  <c r="AA42" i="18"/>
  <c r="AA36" i="13"/>
  <c r="AA37" i="13"/>
  <c r="AA36" i="2"/>
  <c r="AA28" i="13"/>
  <c r="AA37" i="2"/>
  <c r="AA31" i="13"/>
  <c r="AA44" i="13"/>
  <c r="AA32" i="13"/>
  <c r="AA45" i="13"/>
  <c r="AA33" i="13"/>
  <c r="AA46" i="13"/>
  <c r="AA34" i="13"/>
  <c r="AA47" i="13"/>
  <c r="AA35" i="13"/>
  <c r="AA48" i="13"/>
  <c r="AA49" i="13"/>
  <c r="AA38" i="13"/>
  <c r="AA50" i="13"/>
  <c r="AA39" i="13"/>
  <c r="AA51" i="13"/>
  <c r="W28" i="13"/>
  <c r="AA40" i="13"/>
  <c r="AA52" i="13"/>
  <c r="AA41" i="13"/>
  <c r="AA53" i="13"/>
  <c r="AA29" i="13"/>
  <c r="AA42" i="13"/>
  <c r="AA30" i="13"/>
  <c r="AA28" i="5"/>
  <c r="AA42" i="6"/>
  <c r="AA28" i="7"/>
  <c r="AA45" i="6"/>
  <c r="AA33" i="7"/>
  <c r="AA45" i="7"/>
  <c r="AA29" i="6"/>
  <c r="AA46" i="6"/>
  <c r="AA34" i="7"/>
  <c r="AA46" i="7"/>
  <c r="AA30" i="6"/>
  <c r="AA47" i="6"/>
  <c r="AA35" i="7"/>
  <c r="AA47" i="7"/>
  <c r="AA36" i="7"/>
  <c r="AA48" i="7"/>
  <c r="AA37" i="7"/>
  <c r="AA49" i="7"/>
  <c r="AA35" i="6"/>
  <c r="AA53" i="6"/>
  <c r="AA38" i="7"/>
  <c r="AA50" i="7"/>
  <c r="AA28" i="4"/>
  <c r="AA36" i="6"/>
  <c r="W28" i="7"/>
  <c r="AA39" i="7"/>
  <c r="AA51" i="7"/>
  <c r="AA37" i="6"/>
  <c r="AA40" i="7"/>
  <c r="AA52" i="7"/>
  <c r="AA33" i="6"/>
  <c r="AA50" i="6"/>
  <c r="AA28" i="6"/>
  <c r="AA34" i="6"/>
  <c r="AA51" i="6"/>
  <c r="AA38" i="6"/>
  <c r="AA29" i="7"/>
  <c r="AA41" i="7"/>
  <c r="AA53" i="7"/>
  <c r="AA39" i="6"/>
  <c r="AA30" i="7"/>
  <c r="AA42" i="7"/>
  <c r="AA41" i="6"/>
  <c r="AA31" i="7"/>
  <c r="AA43" i="7"/>
  <c r="AA32" i="7"/>
  <c r="AA48" i="6"/>
  <c r="AA49" i="6"/>
  <c r="W28" i="6"/>
  <c r="AA40" i="6"/>
  <c r="AA52" i="6"/>
  <c r="AA31" i="6"/>
  <c r="AA43" i="6"/>
  <c r="AA32" i="6"/>
  <c r="AA33" i="5"/>
  <c r="AA45" i="5"/>
  <c r="AA34" i="5"/>
  <c r="AA46" i="5"/>
  <c r="AA35" i="5"/>
  <c r="AA47" i="5"/>
  <c r="AA36" i="5"/>
  <c r="AA48" i="5"/>
  <c r="AA37" i="5"/>
  <c r="AA49" i="5"/>
  <c r="AA38" i="5"/>
  <c r="AA50" i="5"/>
  <c r="W28" i="5"/>
  <c r="AA39" i="5"/>
  <c r="AA51" i="5"/>
  <c r="AA40" i="5"/>
  <c r="AA52" i="5"/>
  <c r="AA29" i="5"/>
  <c r="AA41" i="5"/>
  <c r="AA53" i="5"/>
  <c r="AA30" i="5"/>
  <c r="AA42" i="5"/>
  <c r="AA31" i="5"/>
  <c r="AA43" i="5"/>
  <c r="AA28" i="2"/>
  <c r="AA32" i="5"/>
  <c r="AA33" i="4"/>
  <c r="AA45" i="4"/>
  <c r="AA34" i="4"/>
  <c r="AA46" i="4"/>
  <c r="AA35" i="4"/>
  <c r="AA47" i="4"/>
  <c r="AA36" i="4"/>
  <c r="AA48" i="4"/>
  <c r="AA37" i="4"/>
  <c r="AA49" i="4"/>
  <c r="AA38" i="4"/>
  <c r="AA50" i="4"/>
  <c r="W28" i="4"/>
  <c r="AA39" i="4"/>
  <c r="AA51" i="4"/>
  <c r="AA40" i="4"/>
  <c r="AA52" i="4"/>
  <c r="AA29" i="4"/>
  <c r="AA41" i="4"/>
  <c r="AA53" i="4"/>
  <c r="AA30" i="4"/>
  <c r="AA42" i="4"/>
  <c r="AA31" i="4"/>
  <c r="AA43" i="4"/>
  <c r="AA32" i="4"/>
  <c r="AA33" i="2"/>
  <c r="AA45" i="2"/>
  <c r="AA34" i="2"/>
  <c r="AA46" i="2"/>
  <c r="AA32" i="2"/>
  <c r="AA44" i="2"/>
  <c r="AA35" i="2"/>
  <c r="AA47" i="2"/>
  <c r="AA48" i="2"/>
  <c r="AA49" i="2"/>
  <c r="AA50" i="2"/>
  <c r="AA38" i="2"/>
  <c r="W28" i="2"/>
  <c r="AA39" i="2"/>
  <c r="AA51" i="2"/>
  <c r="AA40" i="2"/>
  <c r="AA52" i="2"/>
  <c r="AA29" i="2"/>
  <c r="AA41" i="2"/>
  <c r="AA53" i="2"/>
  <c r="AA31" i="2"/>
  <c r="AA43" i="2"/>
  <c r="AA30" i="2"/>
  <c r="K24" i="1"/>
  <c r="AA54" i="22" l="1"/>
  <c r="AA56" i="22" s="1"/>
  <c r="AA54" i="20"/>
  <c r="AA54" i="19"/>
  <c r="AA54" i="16"/>
  <c r="L17" i="16" s="1"/>
  <c r="AA54" i="18"/>
  <c r="AA56" i="18" s="1"/>
  <c r="AA54" i="13"/>
  <c r="L17" i="13" s="1"/>
  <c r="AA54" i="7"/>
  <c r="AA56" i="7" s="1"/>
  <c r="AA54" i="6"/>
  <c r="L17" i="6" s="1"/>
  <c r="AA54" i="5"/>
  <c r="AA54" i="4"/>
  <c r="AA54" i="2"/>
  <c r="AA56" i="2" s="1"/>
  <c r="AC5" i="1"/>
  <c r="AA56" i="16" l="1"/>
  <c r="L17" i="22"/>
  <c r="AA56" i="20"/>
  <c r="L17" i="20"/>
  <c r="L17" i="19"/>
  <c r="AA56" i="19"/>
  <c r="L17" i="18"/>
  <c r="AA56" i="13"/>
  <c r="L17" i="2"/>
  <c r="AA55" i="6"/>
  <c r="AA56" i="6" s="1"/>
  <c r="AA55" i="5"/>
  <c r="AA56" i="5" s="1"/>
  <c r="L17" i="5"/>
  <c r="AA55" i="4"/>
  <c r="AA56" i="4" s="1"/>
  <c r="L17" i="4"/>
  <c r="BA9" i="1"/>
  <c r="AZ9" i="1"/>
  <c r="AY9" i="1"/>
  <c r="BA6" i="1"/>
  <c r="AZ6" i="1"/>
  <c r="AY6" i="1"/>
  <c r="AA53" i="1" l="1"/>
  <c r="AA52" i="1"/>
  <c r="AA40" i="1"/>
  <c r="AA51" i="1"/>
  <c r="AA47" i="1"/>
  <c r="AA43" i="1"/>
  <c r="AA39" i="1"/>
  <c r="AA35" i="1"/>
  <c r="AA31" i="1"/>
  <c r="AA45" i="1"/>
  <c r="AA37" i="1"/>
  <c r="AA29" i="1"/>
  <c r="AA48" i="1"/>
  <c r="AA36" i="1"/>
  <c r="AA50" i="1"/>
  <c r="AA46" i="1"/>
  <c r="AA42" i="1"/>
  <c r="AA38" i="1"/>
  <c r="AA34" i="1"/>
  <c r="AA30" i="1"/>
  <c r="AA49" i="1"/>
  <c r="AA41" i="1"/>
  <c r="AA33" i="1"/>
  <c r="AA44" i="1"/>
  <c r="AA32" i="1"/>
  <c r="W28" i="1"/>
  <c r="AA28" i="1"/>
  <c r="K26" i="1"/>
  <c r="B5" i="1"/>
  <c r="AA54" i="1" l="1"/>
  <c r="L17" i="1" s="1"/>
  <c r="AA55" i="1" l="1"/>
  <c r="AA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5C229821-39E5-4C33-9AEC-4C679C8A4958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3EA9A1B8-4D30-4CC1-B70A-0A12367FAE69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6C70A844-5A9A-4395-A887-BC84F6995F09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5ADD3EC4-20C0-4EBA-940C-72CF5AFB1972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A08955C6-700E-4925-88DE-8BF40FD079F1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390301C9-D46A-413C-8A18-56E86653EE77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12EBDB0A-978C-42AC-8390-F11A5F0CD81A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5192AA61-90C6-49C5-9B9B-EB31D7DEE721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D5DDA241-C90C-487F-BE9C-F405454E2BE6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2BCB14F9-1B8F-45B4-AC41-7642A3E67A66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BA97358B-E6C3-4555-A334-74AB7A2EB821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F73F3635-E621-4199-B219-5E94DD15778B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6E04186A-22ED-449B-BE1C-481503AEAB51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7C551D9F-A53D-4B1A-ADDD-32AE98389484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5795DEAF-9898-4DF1-AF86-342B834BFA9A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44FD3587-C546-49DA-A1E8-18C23CDF61CA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61DBB460-FA8A-4B3E-BAE2-FC57DC64A76E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33D4B71E-B4DA-4B14-BB88-6D998705C545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CB6DC53C-2BA8-46E9-8EBB-945A0E73537F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4FE5B1F3-FBB4-4164-B031-C8800B87F170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00000000-0006-0000-0000-000006000000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00000000-0006-0000-0000-000008000000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00000000-0006-0000-0000-000009000000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2F4F91CB-4B3E-40CE-9F62-E85BA809E8FB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16701529-09DB-408D-A0BB-685881776DF1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A5A17945-7DB5-44E9-834B-C1E88EA65D03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2C77B6E7-6F1F-4F42-88D4-FC2E12827923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722E0ADF-2A32-42B0-A190-865130310863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8D3683A6-DC10-4B9B-B694-B1D1B1480301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7C512F61-F48E-4C64-B4BC-2BB21DE60DDE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74DB654E-D40D-4EFC-8AD6-6944EA4E89D2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D382EE16-0660-437F-8AE0-77A3C8AC92DA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6DDCA1D4-FFB8-4444-AAB3-A8C3AF46F58D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CE6C522B-3BBB-42E8-9E2C-F2CB9F392929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774B0D74-50C6-4730-A3D6-895533125E00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797F2254-A79C-49C2-96B1-23FD80F8D32C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80D0845A-31FB-4A19-9778-EECABBE87217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6B159736-E533-4482-982B-EC1A92A3D594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F0539618-B72C-4919-95DD-4853B419557E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2DE832FE-50A3-480F-8132-8BC5CC10E38A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DA8D4261-4AFC-4EC4-A11D-B5755807A936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7BC3FE85-82D1-4FF3-BB44-1A06D8596D49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E2AE90E2-C9A5-4C29-88BD-00FEB7AF91C3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5EBEE96B-FC61-46D9-8A92-F239FC891429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CEE6AFFB-6BF9-48FF-8AAA-B48269070953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F1C180F0-6CD5-49CB-B469-FA86C1AB8E90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0A52C938-22EB-43F5-8205-7D9A1E6CB421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4AA5AC4A-DB66-4858-98F5-9389D35B2F06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32DD411B-9F96-4B7B-B491-4F4D357BEEAA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30BC8318-3AC0-4F02-906E-9C56EA241554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494B6CE4-24EF-487D-9A72-943651562D55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26948D27-56AD-457B-A583-1B53F6BAA932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C22CCA50-96D9-4475-ADBE-7F79047BE1BF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C47DB211-DD19-48BB-8E7D-33BA89F47062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701F6354-DEBE-44C3-A9D3-4C58C00D875B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A7B6CFB6-3D0F-48F2-95FC-3C52F013914F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BDFF9D79-B5EB-4197-BA31-A1EF1A5B7E51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C910DC4C-D7BF-4B8B-B9E0-147A5710773E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61FF14A3-471A-4C32-8A54-93294DDD4A2E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ACCD9F34-920F-4DD7-AF87-E4E0BEBE689C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5A5BF9C2-4739-46A6-A044-B8B0B960C8D1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5217AAAE-D6CE-4283-8CC8-5635BDDDCC48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86850298-581D-4F54-A5C2-589A99BD43C6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3F579CB0-0BD8-4B44-9D9E-CD5013DFAF4B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8086AB8A-7557-4A6C-BFD1-389E6C810A4D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7FB955A3-4533-414A-9C5E-108EB3047218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581EC8AA-CA21-4356-A4BE-E326C99577EF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B59BDD8F-3331-4B0C-9461-3D839D89385A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AF255EC2-17EF-4ED9-820B-DA6992443995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765CCF5F-0EB9-4BB6-B691-78981F3AFC4D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BFE32F98-FA0B-4BB4-B0FE-958871A0FF61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81C0725C-F8D6-492B-8A8E-8589E49E5309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1A726137-CE2C-49E2-946D-1AE5D2D6E975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4FD7F13E-83B3-49E1-B861-D03B0BD9978A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AF3EEA53-8BB2-42E1-A103-82B26AD043E5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C869B4B1-06F3-47D3-82E5-30D70FDB4C54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629215F9-54FB-41FF-9BDB-DFC98480A276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52C3E082-138A-4FBE-A382-380EAB9771E4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01B5CE75-50AA-4F50-8976-429E57F722D8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86DC1226-8C94-4CDE-8C8D-51ABACA81150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D1CC863F-6CA7-45CC-B5A8-0FCCC725AB61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C84DC6FE-32D4-4DEF-B89F-BDE6FE6A877C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D0146FB1-98D3-4A83-9716-ABA46934A53F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2C5B2404-4607-49BB-859F-D725920DB06A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3E891993-251B-48F6-8FB9-94BEA4B7229B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C3D729EE-2FBA-428E-8DAD-803D31E88836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D097B3B5-FA4F-4F75-8BC8-BE34F9FC9A0F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9FA1BCF0-6366-41AF-B259-27993115528F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D46390E7-3D98-4B1C-8B68-30C8E8252757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E71DE4D4-7813-410A-B936-834DD6F1B8E2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DC447FEA-620B-4EEF-A42A-75501FCE4388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E6DA3173-DE02-4AC1-949E-347E8942BDC8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2E0A4860-1C18-448F-B9A7-C2246BF090A3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4EF07356-89C5-491E-B7D2-B619977BF4DD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31D9BF8A-50D8-41E3-886A-00403A9AB237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161504E4-8A62-435E-83F3-937ABFCC949B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62FE50FF-E4F9-4BAB-833D-7C3446044165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088188D5-6084-4DA5-A167-F6D31642128C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8585D70E-9031-4528-981E-8FA51F9C76E4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C35D4B16-971F-47B4-88D9-5F16F49AAA21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5F072412-E9C5-453C-8E01-EB4CE738B874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411895C2-4C10-46EB-B8AE-3C839821F636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621D88C2-3DAC-4D5A-9B27-69E1F25C1CBD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TB Co.,Ltd.</author>
    <author>TB</author>
    <author>TB株式会社</author>
  </authors>
  <commentList>
    <comment ref="AT6" authorId="0" shapeId="0" xr:uid="{F78DB189-E5D9-40B5-973F-E17E2E9AFCEC}">
      <text>
        <r>
          <rPr>
            <b/>
            <sz val="9"/>
            <color indexed="81"/>
            <rFont val="ＭＳ Ｐゴシック"/>
            <family val="3"/>
            <charset val="128"/>
          </rPr>
          <t>内税・外税・非課税の区分を選択します。項目名称や計算式が変わります。</t>
        </r>
      </text>
    </comment>
    <comment ref="B8" authorId="1" shapeId="0" xr:uid="{EBE0D2E3-5A58-439B-BD27-9FF86F6F6B6A}">
      <text>
        <r>
          <rPr>
            <sz val="9"/>
            <color indexed="81"/>
            <rFont val="ＭＳ Ｐゴシック"/>
            <family val="3"/>
            <charset val="128"/>
          </rPr>
          <t>宛先情報を入力します。</t>
        </r>
      </text>
    </comment>
    <comment ref="Z9" authorId="0" shapeId="0" xr:uid="{E83BFA1D-919F-4A80-B477-1F994AADF6CC}">
      <text>
        <r>
          <rPr>
            <sz val="9"/>
            <color indexed="81"/>
            <rFont val="ＭＳ Ｐゴシック"/>
            <family val="3"/>
            <charset val="128"/>
          </rPr>
          <t>発行元情報を入力します。
社印の画像はご利用時に差し換えてください。</t>
        </r>
      </text>
    </comment>
    <comment ref="AT9" authorId="0" shapeId="0" xr:uid="{4A729436-B461-4EEE-A304-F87BA06A3F99}">
      <text>
        <r>
          <rPr>
            <b/>
            <sz val="9"/>
            <color indexed="81"/>
            <rFont val="ＭＳ Ｐゴシック"/>
            <family val="3"/>
            <charset val="128"/>
          </rPr>
          <t>消費税の計算の小数点以下の丸め方を指定します。数量×単価の計算結果でも利用されます。</t>
        </r>
      </text>
    </comment>
    <comment ref="C15" authorId="1" shapeId="0" xr:uid="{71849041-33C2-49D8-8853-A0B16139A4DE}">
      <text>
        <r>
          <rPr>
            <sz val="9"/>
            <color indexed="81"/>
            <rFont val="ＭＳ Ｐゴシック"/>
            <family val="3"/>
            <charset val="128"/>
          </rPr>
          <t>編集・削除可能です。</t>
        </r>
      </text>
    </comment>
    <comment ref="AK24" authorId="2" shapeId="0" xr:uid="{3FC9C119-1C00-4A02-802D-707A9D4DF1CA}">
      <text>
        <r>
          <rPr>
            <sz val="9"/>
            <color indexed="81"/>
            <rFont val="メイリオ"/>
            <family val="3"/>
            <charset val="128"/>
          </rPr>
          <t>印鑑画像はご利用時に差し換えてください。</t>
        </r>
      </text>
    </comment>
    <comment ref="B29" authorId="0" shapeId="0" xr:uid="{B98E1B55-31F1-4423-BBC0-29EC5521ACD2}">
      <text>
        <r>
          <rPr>
            <sz val="9"/>
            <color indexed="81"/>
            <rFont val="ＭＳ Ｐゴシック"/>
            <family val="3"/>
            <charset val="128"/>
          </rPr>
          <t>工事内容・名称・資材名・規格等を記載します。</t>
        </r>
      </text>
    </comment>
    <comment ref="Q29" authorId="0" shapeId="0" xr:uid="{76659299-E82B-47CE-8D75-1469E3D562A1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  <comment ref="T29" authorId="0" shapeId="0" xr:uid="{0801A566-028D-469B-9EF0-2151EB28C9CC}">
      <text>
        <r>
          <rPr>
            <sz val="9"/>
            <color indexed="81"/>
            <rFont val="ＭＳ Ｐゴシック"/>
            <family val="3"/>
            <charset val="128"/>
          </rPr>
          <t>数量の単位を記載します。空白の場合もありますが、「ダース」と「本」のように混在する場合に記載します。</t>
        </r>
      </text>
    </comment>
    <comment ref="W29" authorId="0" shapeId="0" xr:uid="{01A77CD0-9148-4CE2-9B1B-E6A262684767}">
      <text>
        <r>
          <rPr>
            <sz val="9"/>
            <color indexed="81"/>
            <rFont val="ＭＳ Ｐゴシック"/>
            <family val="3"/>
            <charset val="128"/>
          </rPr>
          <t>小数点以下の数値を入力する場合は、書式を「標準」に変更してください。</t>
        </r>
      </text>
    </comment>
  </commentList>
</comments>
</file>

<file path=xl/sharedStrings.xml><?xml version="1.0" encoding="utf-8"?>
<sst xmlns="http://schemas.openxmlformats.org/spreadsheetml/2006/main" count="805" uniqueCount="169">
  <si>
    <t>御見積書</t>
    <phoneticPr fontId="1"/>
  </si>
  <si>
    <t>伝票内容　設定</t>
    <rPh sb="0" eb="2">
      <t>デンピョウ</t>
    </rPh>
    <rPh sb="2" eb="4">
      <t>ナイヨウ</t>
    </rPh>
    <rPh sb="5" eb="7">
      <t>セッテイ</t>
    </rPh>
    <phoneticPr fontId="1"/>
  </si>
  <si>
    <t>消費税の扱い</t>
    <rPh sb="0" eb="3">
      <t>ショウヒゼイ</t>
    </rPh>
    <rPh sb="4" eb="5">
      <t>アツカ</t>
    </rPh>
    <phoneticPr fontId="1"/>
  </si>
  <si>
    <t>外税</t>
    <rPh sb="0" eb="2">
      <t>ソトゼイ</t>
    </rPh>
    <phoneticPr fontId="1"/>
  </si>
  <si>
    <t>内税</t>
    <rPh sb="0" eb="2">
      <t>ウチゼイ</t>
    </rPh>
    <phoneticPr fontId="1"/>
  </si>
  <si>
    <t>非課税</t>
    <rPh sb="0" eb="3">
      <t>ヒカゼイ</t>
    </rPh>
    <phoneticPr fontId="1"/>
  </si>
  <si>
    <t>消費税率</t>
    <rPh sb="0" eb="3">
      <t>ショウヒゼイ</t>
    </rPh>
    <rPh sb="3" eb="4">
      <t>リツ</t>
    </rPh>
    <phoneticPr fontId="1"/>
  </si>
  <si>
    <t>裕吏建設様御中</t>
    <rPh sb="0" eb="4">
      <t>ユウリケンセツ</t>
    </rPh>
    <rPh sb="4" eb="5">
      <t>サマ</t>
    </rPh>
    <rPh sb="5" eb="7">
      <t>オンチュウ</t>
    </rPh>
    <phoneticPr fontId="1"/>
  </si>
  <si>
    <t>竹本塗装店
奈良県橿原市見瀬町616-2
TEL:0744-35-5162FAX:0745-51-1864
代表：竹本直也</t>
    <rPh sb="0" eb="2">
      <t>タケモト</t>
    </rPh>
    <rPh sb="2" eb="4">
      <t>トソウ</t>
    </rPh>
    <rPh sb="4" eb="5">
      <t>テン</t>
    </rPh>
    <rPh sb="6" eb="9">
      <t>ナラケン</t>
    </rPh>
    <rPh sb="9" eb="12">
      <t>カシハラシ</t>
    </rPh>
    <rPh sb="12" eb="15">
      <t>ミセチョウ</t>
    </rPh>
    <rPh sb="54" eb="56">
      <t>ダイヒョウ</t>
    </rPh>
    <rPh sb="57" eb="59">
      <t>タケモト</t>
    </rPh>
    <rPh sb="59" eb="61">
      <t>ナオヤ</t>
    </rPh>
    <phoneticPr fontId="1"/>
  </si>
  <si>
    <t>端数扱い</t>
    <rPh sb="0" eb="2">
      <t>ハスウ</t>
    </rPh>
    <rPh sb="2" eb="3">
      <t>アツカ</t>
    </rPh>
    <phoneticPr fontId="1"/>
  </si>
  <si>
    <t>切り上げ</t>
    <rPh sb="0" eb="1">
      <t>キ</t>
    </rPh>
    <rPh sb="2" eb="3">
      <t>ア</t>
    </rPh>
    <phoneticPr fontId="1"/>
  </si>
  <si>
    <t>四捨五入</t>
    <rPh sb="0" eb="4">
      <t>シシャゴニュウ</t>
    </rPh>
    <phoneticPr fontId="1"/>
  </si>
  <si>
    <t>切り捨て</t>
    <rPh sb="0" eb="1">
      <t>キ</t>
    </rPh>
    <rPh sb="2" eb="3">
      <t>ス</t>
    </rPh>
    <phoneticPr fontId="1"/>
  </si>
  <si>
    <t>発行日　年</t>
    <rPh sb="0" eb="2">
      <t>ハッコウ</t>
    </rPh>
    <rPh sb="2" eb="3">
      <t>ビ</t>
    </rPh>
    <rPh sb="4" eb="5">
      <t>ネン</t>
    </rPh>
    <phoneticPr fontId="1"/>
  </si>
  <si>
    <t>発行日　月</t>
    <rPh sb="0" eb="2">
      <t>ハッコウ</t>
    </rPh>
    <rPh sb="2" eb="3">
      <t>ビ</t>
    </rPh>
    <rPh sb="4" eb="5">
      <t>ツキ</t>
    </rPh>
    <phoneticPr fontId="1"/>
  </si>
  <si>
    <t>発行日　日</t>
    <rPh sb="0" eb="2">
      <t>ハッコウ</t>
    </rPh>
    <rPh sb="2" eb="3">
      <t>ビ</t>
    </rPh>
    <rPh sb="4" eb="5">
      <t>ニチ</t>
    </rPh>
    <phoneticPr fontId="1"/>
  </si>
  <si>
    <t>下記の通り御見積申し上げます。</t>
    <phoneticPr fontId="1"/>
  </si>
  <si>
    <t>見積書番号</t>
    <rPh sb="0" eb="3">
      <t>ミツモリショ</t>
    </rPh>
    <rPh sb="3" eb="5">
      <t>バンゴウ</t>
    </rPh>
    <phoneticPr fontId="1"/>
  </si>
  <si>
    <t>御見積金額</t>
    <rPh sb="0" eb="3">
      <t>オミツモリ</t>
    </rPh>
    <rPh sb="3" eb="4">
      <t>キン</t>
    </rPh>
    <rPh sb="4" eb="5">
      <t>ガク</t>
    </rPh>
    <phoneticPr fontId="1"/>
  </si>
  <si>
    <t>￥4.953.234-税込</t>
    <rPh sb="11" eb="13">
      <t>ゼイコミ</t>
    </rPh>
    <phoneticPr fontId="1"/>
  </si>
  <si>
    <t>工事期間（開始）　年</t>
    <rPh sb="0" eb="2">
      <t>コウジ</t>
    </rPh>
    <rPh sb="2" eb="4">
      <t>キカン</t>
    </rPh>
    <rPh sb="5" eb="7">
      <t>カイシ</t>
    </rPh>
    <rPh sb="9" eb="10">
      <t>ネン</t>
    </rPh>
    <phoneticPr fontId="1"/>
  </si>
  <si>
    <t>工事期間（終了）　年</t>
    <rPh sb="0" eb="2">
      <t>コウジ</t>
    </rPh>
    <rPh sb="2" eb="4">
      <t>キカン</t>
    </rPh>
    <rPh sb="5" eb="7">
      <t>シュウリョウ</t>
    </rPh>
    <rPh sb="9" eb="10">
      <t>ネン</t>
    </rPh>
    <phoneticPr fontId="1"/>
  </si>
  <si>
    <t>工事期間（開始）　月</t>
    <rPh sb="9" eb="10">
      <t>ツキ</t>
    </rPh>
    <phoneticPr fontId="1"/>
  </si>
  <si>
    <t>工事期間（終了）　月</t>
    <rPh sb="9" eb="10">
      <t>ツキ</t>
    </rPh>
    <phoneticPr fontId="1"/>
  </si>
  <si>
    <t>工事期間（開始）　日</t>
    <rPh sb="9" eb="10">
      <t>ニチ</t>
    </rPh>
    <phoneticPr fontId="1"/>
  </si>
  <si>
    <t>工事期間（終了）　日</t>
    <rPh sb="9" eb="10">
      <t>ニチ</t>
    </rPh>
    <phoneticPr fontId="1"/>
  </si>
  <si>
    <t>工事件名</t>
    <rPh sb="0" eb="2">
      <t>コウジ</t>
    </rPh>
    <rPh sb="2" eb="4">
      <t>ケンメイ</t>
    </rPh>
    <phoneticPr fontId="1"/>
  </si>
  <si>
    <t>:</t>
    <phoneticPr fontId="1"/>
  </si>
  <si>
    <t>村井邸様</t>
    <rPh sb="0" eb="2">
      <t>ムライ</t>
    </rPh>
    <rPh sb="2" eb="3">
      <t>テイ</t>
    </rPh>
    <rPh sb="3" eb="4">
      <t>サマ</t>
    </rPh>
    <phoneticPr fontId="1"/>
  </si>
  <si>
    <t>有効期限　年</t>
    <rPh sb="0" eb="2">
      <t>ユウコウ</t>
    </rPh>
    <rPh sb="2" eb="4">
      <t>キゲン</t>
    </rPh>
    <rPh sb="5" eb="6">
      <t>ネン</t>
    </rPh>
    <phoneticPr fontId="1"/>
  </si>
  <si>
    <t>工事場所</t>
    <rPh sb="0" eb="2">
      <t>コウジ</t>
    </rPh>
    <rPh sb="2" eb="4">
      <t>バショ</t>
    </rPh>
    <phoneticPr fontId="1"/>
  </si>
  <si>
    <t>別棟、駐車場</t>
    <rPh sb="0" eb="2">
      <t>ベツムネ</t>
    </rPh>
    <rPh sb="3" eb="6">
      <t>チュウシャジョウ</t>
    </rPh>
    <phoneticPr fontId="1"/>
  </si>
  <si>
    <t>有効期限　月</t>
    <rPh sb="0" eb="2">
      <t>ユウコウ</t>
    </rPh>
    <rPh sb="2" eb="4">
      <t>キゲン</t>
    </rPh>
    <rPh sb="5" eb="6">
      <t>ツキ</t>
    </rPh>
    <phoneticPr fontId="1"/>
  </si>
  <si>
    <t>工事概要</t>
    <rPh sb="0" eb="2">
      <t>コウジ</t>
    </rPh>
    <rPh sb="2" eb="4">
      <t>ガイヨウ</t>
    </rPh>
    <phoneticPr fontId="1"/>
  </si>
  <si>
    <t>有効期限　日</t>
    <rPh sb="0" eb="2">
      <t>ユウコウ</t>
    </rPh>
    <rPh sb="2" eb="4">
      <t>キゲン</t>
    </rPh>
    <rPh sb="5" eb="6">
      <t>ニチ</t>
    </rPh>
    <phoneticPr fontId="1"/>
  </si>
  <si>
    <t>工事期間</t>
    <rPh sb="0" eb="2">
      <t>コウジ</t>
    </rPh>
    <rPh sb="2" eb="4">
      <t>キカン</t>
    </rPh>
    <phoneticPr fontId="1"/>
  </si>
  <si>
    <t>～</t>
    <phoneticPr fontId="1"/>
  </si>
  <si>
    <t>支払条件</t>
    <rPh sb="0" eb="2">
      <t>シハラ</t>
    </rPh>
    <rPh sb="2" eb="4">
      <t>ジョウケン</t>
    </rPh>
    <phoneticPr fontId="1"/>
  </si>
  <si>
    <t>有効期限</t>
    <rPh sb="0" eb="2">
      <t>ユウコウ</t>
    </rPh>
    <rPh sb="2" eb="4">
      <t>キゲン</t>
    </rPh>
    <phoneticPr fontId="1"/>
  </si>
  <si>
    <t>名称／規格</t>
    <rPh sb="0" eb="2">
      <t>メイショウ</t>
    </rPh>
    <rPh sb="3" eb="5">
      <t>キカク</t>
    </rPh>
    <phoneticPr fontId="1"/>
  </si>
  <si>
    <t>数量</t>
    <rPh sb="0" eb="2">
      <t>スウリョウ</t>
    </rPh>
    <phoneticPr fontId="1"/>
  </si>
  <si>
    <t>単位</t>
    <phoneticPr fontId="1"/>
  </si>
  <si>
    <t>備考</t>
    <rPh sb="0" eb="2">
      <t>ビコウ</t>
    </rPh>
    <phoneticPr fontId="1"/>
  </si>
  <si>
    <t>村井邸様改修塗装工事　本宅、駐車場　別棟</t>
    <rPh sb="11" eb="13">
      <t>ホンタク</t>
    </rPh>
    <rPh sb="14" eb="17">
      <t>チュウシャジョウ</t>
    </rPh>
    <rPh sb="18" eb="19">
      <t>ベツ</t>
    </rPh>
    <rPh sb="19" eb="20">
      <t>トウ</t>
    </rPh>
    <phoneticPr fontId="1"/>
  </si>
  <si>
    <t>お見積り金額合計</t>
    <rPh sb="1" eb="3">
      <t>ミツモ</t>
    </rPh>
    <rPh sb="4" eb="6">
      <t>キンガク</t>
    </rPh>
    <rPh sb="6" eb="8">
      <t>ゴウケイ</t>
    </rPh>
    <phoneticPr fontId="1"/>
  </si>
  <si>
    <t>本宅</t>
    <rPh sb="0" eb="2">
      <t>ホンタク</t>
    </rPh>
    <phoneticPr fontId="1"/>
  </si>
  <si>
    <t>式</t>
    <rPh sb="0" eb="1">
      <t>シキ</t>
    </rPh>
    <phoneticPr fontId="1"/>
  </si>
  <si>
    <t>別棟　駐車場</t>
    <rPh sb="0" eb="2">
      <t>ベツムネ</t>
    </rPh>
    <rPh sb="3" eb="6">
      <t>チュウシャジョウ</t>
    </rPh>
    <phoneticPr fontId="1"/>
  </si>
  <si>
    <t>別棟屋根</t>
    <rPh sb="0" eb="2">
      <t>ベツムネ</t>
    </rPh>
    <rPh sb="2" eb="4">
      <t>ヤネ</t>
    </rPh>
    <phoneticPr fontId="1"/>
  </si>
  <si>
    <t>防水シール工事</t>
    <rPh sb="0" eb="2">
      <t>ボウスイ</t>
    </rPh>
    <rPh sb="5" eb="7">
      <t>コウジ</t>
    </rPh>
    <phoneticPr fontId="1"/>
  </si>
  <si>
    <t>小計</t>
    <rPh sb="0" eb="2">
      <t>ショウケイ</t>
    </rPh>
    <phoneticPr fontId="1"/>
  </si>
  <si>
    <t>消費税</t>
    <rPh sb="0" eb="3">
      <t>ショウヒゼイ</t>
    </rPh>
    <phoneticPr fontId="1"/>
  </si>
  <si>
    <t>合計</t>
    <rPh sb="0" eb="2">
      <t>ゴウケイ</t>
    </rPh>
    <phoneticPr fontId="1"/>
  </si>
  <si>
    <t>登録番号　T2810826383922</t>
    <phoneticPr fontId="1"/>
  </si>
  <si>
    <t>防水工事</t>
    <rPh sb="0" eb="2">
      <t>ボウスイ</t>
    </rPh>
    <rPh sb="2" eb="4">
      <t>コウジ</t>
    </rPh>
    <phoneticPr fontId="1"/>
  </si>
  <si>
    <t>ベランダ等防水工事</t>
    <rPh sb="4" eb="5">
      <t>トウ</t>
    </rPh>
    <rPh sb="5" eb="7">
      <t>ボウスイ</t>
    </rPh>
    <rPh sb="7" eb="9">
      <t>コウジ</t>
    </rPh>
    <phoneticPr fontId="1"/>
  </si>
  <si>
    <t>トップ塗装（下地共）</t>
    <rPh sb="3" eb="5">
      <t>トソウ</t>
    </rPh>
    <rPh sb="6" eb="8">
      <t>シタジ</t>
    </rPh>
    <rPh sb="8" eb="9">
      <t>トモ</t>
    </rPh>
    <phoneticPr fontId="1"/>
  </si>
  <si>
    <t>㎡</t>
    <phoneticPr fontId="1"/>
  </si>
  <si>
    <t>シール工事</t>
    <rPh sb="3" eb="5">
      <t>コウジ</t>
    </rPh>
    <phoneticPr fontId="1"/>
  </si>
  <si>
    <t>ALC目地シール窓廻り　増し打ち</t>
    <rPh sb="3" eb="5">
      <t>メジ</t>
    </rPh>
    <rPh sb="8" eb="9">
      <t>マド</t>
    </rPh>
    <rPh sb="9" eb="10">
      <t>マワ</t>
    </rPh>
    <rPh sb="12" eb="13">
      <t>マ</t>
    </rPh>
    <rPh sb="14" eb="15">
      <t>ウ</t>
    </rPh>
    <phoneticPr fontId="1"/>
  </si>
  <si>
    <t>m</t>
    <phoneticPr fontId="1"/>
  </si>
  <si>
    <t>ウレタン増し打ち</t>
    <rPh sb="4" eb="5">
      <t>マ</t>
    </rPh>
    <rPh sb="6" eb="7">
      <t>ウ</t>
    </rPh>
    <phoneticPr fontId="1"/>
  </si>
  <si>
    <t>パネル廻り　打ち替え</t>
    <rPh sb="3" eb="4">
      <t>マワ</t>
    </rPh>
    <rPh sb="6" eb="7">
      <t>ウ</t>
    </rPh>
    <rPh sb="8" eb="9">
      <t>カ</t>
    </rPh>
    <phoneticPr fontId="1"/>
  </si>
  <si>
    <t>変性シリコーン</t>
    <rPh sb="0" eb="2">
      <t>ヘンセイ</t>
    </rPh>
    <phoneticPr fontId="1"/>
  </si>
  <si>
    <t>窓枠面台</t>
    <rPh sb="0" eb="1">
      <t>マド</t>
    </rPh>
    <rPh sb="1" eb="2">
      <t>ワク</t>
    </rPh>
    <rPh sb="2" eb="4">
      <t>メンダイ</t>
    </rPh>
    <phoneticPr fontId="1"/>
  </si>
  <si>
    <t>コーキング打ち替え</t>
    <rPh sb="5" eb="6">
      <t>ウ</t>
    </rPh>
    <rPh sb="7" eb="8">
      <t>カ</t>
    </rPh>
    <phoneticPr fontId="1"/>
  </si>
  <si>
    <t>本宅側</t>
    <rPh sb="0" eb="2">
      <t>ホンタク</t>
    </rPh>
    <rPh sb="2" eb="3">
      <t>ガワ</t>
    </rPh>
    <phoneticPr fontId="1"/>
  </si>
  <si>
    <r>
      <t>村井邸様改修塗装工事　</t>
    </r>
    <r>
      <rPr>
        <b/>
        <sz val="9"/>
        <color theme="1"/>
        <rFont val="メイリオ"/>
        <family val="3"/>
        <charset val="128"/>
      </rPr>
      <t>本宅</t>
    </r>
    <rPh sb="0" eb="2">
      <t>ムライ</t>
    </rPh>
    <rPh sb="2" eb="3">
      <t>テイ</t>
    </rPh>
    <rPh sb="3" eb="4">
      <t>サマ</t>
    </rPh>
    <rPh sb="4" eb="6">
      <t>カイシュウ</t>
    </rPh>
    <rPh sb="6" eb="8">
      <t>トソウ</t>
    </rPh>
    <rPh sb="8" eb="10">
      <t>コウジ</t>
    </rPh>
    <rPh sb="11" eb="13">
      <t>ホンタク</t>
    </rPh>
    <phoneticPr fontId="1"/>
  </si>
  <si>
    <t>高圧洗浄にて清掃（屋根、外壁等）</t>
    <rPh sb="0" eb="4">
      <t>コウアツセンジョウ</t>
    </rPh>
    <rPh sb="6" eb="8">
      <t>セイソウ</t>
    </rPh>
    <rPh sb="9" eb="11">
      <t>ヤネ</t>
    </rPh>
    <rPh sb="12" eb="14">
      <t>ガイヘキ</t>
    </rPh>
    <rPh sb="14" eb="15">
      <t>トウ</t>
    </rPh>
    <phoneticPr fontId="1"/>
  </si>
  <si>
    <t>外壁塗装　</t>
    <rPh sb="0" eb="2">
      <t>ガイヘキ</t>
    </rPh>
    <rPh sb="2" eb="4">
      <t>トソウ</t>
    </rPh>
    <phoneticPr fontId="1"/>
  </si>
  <si>
    <t>下地塗装　ＳＫ化研ミラクシーラーエコ</t>
    <rPh sb="0" eb="2">
      <t>シタジ</t>
    </rPh>
    <rPh sb="2" eb="4">
      <t>トソウ</t>
    </rPh>
    <rPh sb="7" eb="9">
      <t>カケン</t>
    </rPh>
    <phoneticPr fontId="1"/>
  </si>
  <si>
    <t>上塗り　ＳＫ化研　プレミアムシリコン</t>
    <rPh sb="0" eb="2">
      <t>ウワヌ</t>
    </rPh>
    <rPh sb="6" eb="8">
      <t>カケン</t>
    </rPh>
    <phoneticPr fontId="1"/>
  </si>
  <si>
    <t>屋根塗装</t>
    <rPh sb="0" eb="2">
      <t>ヤネ</t>
    </rPh>
    <rPh sb="2" eb="4">
      <t>トソウ</t>
    </rPh>
    <phoneticPr fontId="1"/>
  </si>
  <si>
    <t>カラーベスト　</t>
    <phoneticPr fontId="1"/>
  </si>
  <si>
    <t>下地塗装　SK化研　マイルドシーラーEPO</t>
    <rPh sb="0" eb="2">
      <t>シタジ</t>
    </rPh>
    <rPh sb="2" eb="4">
      <t>トソウ</t>
    </rPh>
    <rPh sb="7" eb="9">
      <t>カケン</t>
    </rPh>
    <phoneticPr fontId="1"/>
  </si>
  <si>
    <t>上塗り　SK化研　ヤネフレッシュ</t>
    <rPh sb="0" eb="2">
      <t>シタジ</t>
    </rPh>
    <rPh sb="2" eb="4">
      <t>トソウ</t>
    </rPh>
    <rPh sb="7" eb="9">
      <t>カケン</t>
    </rPh>
    <phoneticPr fontId="1"/>
  </si>
  <si>
    <t>破風板等　鉄部板　</t>
    <rPh sb="0" eb="3">
      <t>ハフイタ</t>
    </rPh>
    <rPh sb="3" eb="4">
      <t>トウ</t>
    </rPh>
    <rPh sb="5" eb="7">
      <t>テツブ</t>
    </rPh>
    <rPh sb="7" eb="8">
      <t>イタ</t>
    </rPh>
    <phoneticPr fontId="1"/>
  </si>
  <si>
    <t>錆止め塗装　関ペ　ラスゴンセーフティ</t>
    <rPh sb="0" eb="2">
      <t>サビト</t>
    </rPh>
    <rPh sb="3" eb="5">
      <t>トソウ</t>
    </rPh>
    <rPh sb="6" eb="7">
      <t>カン</t>
    </rPh>
    <phoneticPr fontId="1"/>
  </si>
  <si>
    <t>上塗り塗装　関ペ　一液Mレタン</t>
    <rPh sb="0" eb="2">
      <t>ウワヌ</t>
    </rPh>
    <rPh sb="3" eb="5">
      <t>トソウ</t>
    </rPh>
    <rPh sb="6" eb="7">
      <t>カン</t>
    </rPh>
    <rPh sb="9" eb="10">
      <t>イチ</t>
    </rPh>
    <rPh sb="10" eb="11">
      <t>エキ</t>
    </rPh>
    <phoneticPr fontId="1"/>
  </si>
  <si>
    <t>受け樋、縦樋、　雨戸、各所塗装</t>
    <rPh sb="0" eb="1">
      <t>ウ</t>
    </rPh>
    <rPh sb="2" eb="3">
      <t>トイ</t>
    </rPh>
    <rPh sb="4" eb="5">
      <t>タテ</t>
    </rPh>
    <rPh sb="5" eb="6">
      <t>トイ</t>
    </rPh>
    <rPh sb="8" eb="10">
      <t>アマド</t>
    </rPh>
    <rPh sb="11" eb="13">
      <t>カクショ</t>
    </rPh>
    <rPh sb="13" eb="15">
      <t>トソウ</t>
    </rPh>
    <phoneticPr fontId="1"/>
  </si>
  <si>
    <t>上塗り塗装　一液Mレタン</t>
    <rPh sb="0" eb="2">
      <t>ウワヌ</t>
    </rPh>
    <rPh sb="3" eb="5">
      <t>トソウ</t>
    </rPh>
    <rPh sb="6" eb="8">
      <t>イチエキ</t>
    </rPh>
    <phoneticPr fontId="1"/>
  </si>
  <si>
    <t>村井邸様改修塗装工事　駐車場　別棟</t>
    <rPh sb="11" eb="14">
      <t>チュウシャジョウ</t>
    </rPh>
    <rPh sb="15" eb="16">
      <t>ベツ</t>
    </rPh>
    <rPh sb="16" eb="17">
      <t>トウ</t>
    </rPh>
    <phoneticPr fontId="1"/>
  </si>
  <si>
    <t>※別棟</t>
    <rPh sb="1" eb="3">
      <t>ベツトウ</t>
    </rPh>
    <phoneticPr fontId="1"/>
  </si>
  <si>
    <t>下地塗装　SK化研　マイルドシーラーEPO</t>
    <phoneticPr fontId="1"/>
  </si>
  <si>
    <t>上塗り　SK化研　ヤネフレッシュ</t>
    <phoneticPr fontId="1"/>
  </si>
  <si>
    <t>※駐車場</t>
    <rPh sb="1" eb="4">
      <t>チュウシャジョウ</t>
    </rPh>
    <phoneticPr fontId="1"/>
  </si>
  <si>
    <t>水洗い　高圧洗浄</t>
    <rPh sb="0" eb="2">
      <t>ミズアラ</t>
    </rPh>
    <rPh sb="4" eb="8">
      <t>コウアツセンジョウ</t>
    </rPh>
    <phoneticPr fontId="1"/>
  </si>
  <si>
    <t>外壁塗装</t>
    <rPh sb="0" eb="2">
      <t>ガイヘキ</t>
    </rPh>
    <rPh sb="2" eb="4">
      <t>トソウ</t>
    </rPh>
    <phoneticPr fontId="1"/>
  </si>
  <si>
    <t>下地塗装　ＳＫ化研ミラクシーラーエコ</t>
    <phoneticPr fontId="1"/>
  </si>
  <si>
    <t>上塗り　ＳＫ化研プレミアムシリコン</t>
    <phoneticPr fontId="1"/>
  </si>
  <si>
    <t>内部壁、鉄部等</t>
    <rPh sb="0" eb="2">
      <t>ナイブ</t>
    </rPh>
    <rPh sb="2" eb="3">
      <t>カベ</t>
    </rPh>
    <rPh sb="4" eb="6">
      <t>テツブ</t>
    </rPh>
    <rPh sb="6" eb="7">
      <t>トウ</t>
    </rPh>
    <phoneticPr fontId="1"/>
  </si>
  <si>
    <t>錆止め塗装　関ペ　ラスゴンセーフティ</t>
    <phoneticPr fontId="1"/>
  </si>
  <si>
    <t>上塗り塗装　関ペ　セラMレタン</t>
    <phoneticPr fontId="1"/>
  </si>
  <si>
    <t>折半屋根　他鉄部</t>
    <rPh sb="0" eb="4">
      <t>セッパンヤネ</t>
    </rPh>
    <rPh sb="5" eb="6">
      <t>ホカ</t>
    </rPh>
    <rPh sb="6" eb="8">
      <t>テツブ</t>
    </rPh>
    <phoneticPr fontId="1"/>
  </si>
  <si>
    <t>上塗り　SK化研　ルーフスターU</t>
    <rPh sb="0" eb="2">
      <t>ウワヌ</t>
    </rPh>
    <rPh sb="6" eb="8">
      <t>カケン</t>
    </rPh>
    <phoneticPr fontId="1"/>
  </si>
  <si>
    <t>カーポート板床等</t>
    <rPh sb="5" eb="6">
      <t>イタ</t>
    </rPh>
    <rPh sb="6" eb="7">
      <t>ユカ</t>
    </rPh>
    <rPh sb="7" eb="8">
      <t>トウ</t>
    </rPh>
    <phoneticPr fontId="1"/>
  </si>
  <si>
    <t>錆止め　関ペ　アレスダイナミックプライマー</t>
    <rPh sb="0" eb="2">
      <t>サビト</t>
    </rPh>
    <rPh sb="4" eb="5">
      <t>カン</t>
    </rPh>
    <phoneticPr fontId="1"/>
  </si>
  <si>
    <t>上塗り　関ペ　アレスエコレタン　</t>
    <rPh sb="0" eb="2">
      <t>ウワヌ</t>
    </rPh>
    <rPh sb="4" eb="5">
      <t>カン</t>
    </rPh>
    <phoneticPr fontId="1"/>
  </si>
  <si>
    <t>※別棟</t>
    <rPh sb="1" eb="2">
      <t>ベツ</t>
    </rPh>
    <rPh sb="2" eb="3">
      <t>ムネ</t>
    </rPh>
    <phoneticPr fontId="1"/>
  </si>
  <si>
    <t>飛鳥工業様御中</t>
    <rPh sb="0" eb="4">
      <t>アスカコウギョウ</t>
    </rPh>
    <rPh sb="4" eb="5">
      <t>サマ</t>
    </rPh>
    <rPh sb="5" eb="7">
      <t>オンチュウ</t>
    </rPh>
    <phoneticPr fontId="1"/>
  </si>
  <si>
    <t>荒俣様邸</t>
    <rPh sb="0" eb="2">
      <t>アラマタ</t>
    </rPh>
    <rPh sb="2" eb="3">
      <t>サマ</t>
    </rPh>
    <rPh sb="3" eb="4">
      <t>テイ</t>
    </rPh>
    <phoneticPr fontId="1"/>
  </si>
  <si>
    <t>外部周り　高圧洗浄にて清掃</t>
    <rPh sb="0" eb="2">
      <t>ガイブ</t>
    </rPh>
    <rPh sb="2" eb="3">
      <t>マワ</t>
    </rPh>
    <rPh sb="5" eb="9">
      <t>コウアツセンジョウ</t>
    </rPh>
    <rPh sb="11" eb="13">
      <t>セイソウ</t>
    </rPh>
    <phoneticPr fontId="1"/>
  </si>
  <si>
    <t>①屋根スレート塗装</t>
    <rPh sb="1" eb="3">
      <t>ヤネ</t>
    </rPh>
    <rPh sb="7" eb="9">
      <t>トソウ</t>
    </rPh>
    <phoneticPr fontId="1"/>
  </si>
  <si>
    <t>ヤネフレッシュF（フッ素塗装）</t>
    <rPh sb="11" eb="12">
      <t>ソ</t>
    </rPh>
    <rPh sb="12" eb="14">
      <t>トソウ</t>
    </rPh>
    <phoneticPr fontId="1"/>
  </si>
  <si>
    <t>②外壁サイディング塗装</t>
    <rPh sb="1" eb="3">
      <t>ガイヘキ</t>
    </rPh>
    <rPh sb="9" eb="11">
      <t>トソウ</t>
    </rPh>
    <phoneticPr fontId="1"/>
  </si>
  <si>
    <t>スーパーセラタイトF</t>
    <phoneticPr fontId="1"/>
  </si>
  <si>
    <t>SKプレミアムUVクリヤー</t>
    <phoneticPr fontId="1"/>
  </si>
  <si>
    <t>③ボーダー部塗装</t>
    <rPh sb="5" eb="6">
      <t>ブ</t>
    </rPh>
    <rPh sb="6" eb="8">
      <t>トソウ</t>
    </rPh>
    <phoneticPr fontId="1"/>
  </si>
  <si>
    <t>ｍ</t>
    <phoneticPr fontId="1"/>
  </si>
  <si>
    <t>④軒先部塗装</t>
    <rPh sb="1" eb="3">
      <t>ノキサキ</t>
    </rPh>
    <rPh sb="3" eb="4">
      <t>ブ</t>
    </rPh>
    <rPh sb="4" eb="6">
      <t>トソウ</t>
    </rPh>
    <phoneticPr fontId="1"/>
  </si>
  <si>
    <t>⑤軒天ボード面塗装</t>
    <rPh sb="1" eb="3">
      <t>ノキテン</t>
    </rPh>
    <rPh sb="6" eb="7">
      <t>メン</t>
    </rPh>
    <rPh sb="7" eb="9">
      <t>トソウ</t>
    </rPh>
    <phoneticPr fontId="1"/>
  </si>
  <si>
    <t>SK化研　水性エコファイン</t>
    <rPh sb="2" eb="4">
      <t>カケン</t>
    </rPh>
    <rPh sb="5" eb="7">
      <t>スイセイ</t>
    </rPh>
    <phoneticPr fontId="1"/>
  </si>
  <si>
    <t>⑥巾木部塗装</t>
    <rPh sb="1" eb="3">
      <t>ハバキ</t>
    </rPh>
    <rPh sb="3" eb="4">
      <t>ブ</t>
    </rPh>
    <rPh sb="4" eb="6">
      <t>トソウ</t>
    </rPh>
    <phoneticPr fontId="1"/>
  </si>
  <si>
    <t>SK化研セラミガードNEO</t>
    <rPh sb="2" eb="4">
      <t>カケン</t>
    </rPh>
    <phoneticPr fontId="1"/>
  </si>
  <si>
    <t>養生、雑塗装、諸費用共</t>
    <rPh sb="0" eb="2">
      <t>ヨウジョウ</t>
    </rPh>
    <rPh sb="3" eb="6">
      <t>ザツトソウ</t>
    </rPh>
    <rPh sb="7" eb="10">
      <t>ショヒヨウ</t>
    </rPh>
    <rPh sb="10" eb="11">
      <t>トモ</t>
    </rPh>
    <phoneticPr fontId="1"/>
  </si>
  <si>
    <t>登録番号　T2810826383922　</t>
    <rPh sb="0" eb="2">
      <t>トウロク</t>
    </rPh>
    <rPh sb="2" eb="4">
      <t>バンゴウ</t>
    </rPh>
    <phoneticPr fontId="1"/>
  </si>
  <si>
    <t>谷本様御中</t>
    <rPh sb="0" eb="2">
      <t>タニモト</t>
    </rPh>
    <rPh sb="2" eb="3">
      <t>サマ</t>
    </rPh>
    <rPh sb="3" eb="5">
      <t>オンチュウ</t>
    </rPh>
    <phoneticPr fontId="1"/>
  </si>
  <si>
    <t>奈良県吉野郡大淀町土田</t>
    <rPh sb="0" eb="3">
      <t>ナラケン</t>
    </rPh>
    <rPh sb="3" eb="6">
      <t>ヨシノグン</t>
    </rPh>
    <rPh sb="6" eb="9">
      <t>オオヨドチョウ</t>
    </rPh>
    <rPh sb="9" eb="11">
      <t>ツチタ</t>
    </rPh>
    <phoneticPr fontId="1"/>
  </si>
  <si>
    <t>豊田様邸外壁改修工事</t>
    <rPh sb="0" eb="2">
      <t>トヨタ</t>
    </rPh>
    <rPh sb="2" eb="3">
      <t>サマ</t>
    </rPh>
    <rPh sb="3" eb="4">
      <t>テイ</t>
    </rPh>
    <rPh sb="4" eb="6">
      <t>ガイヘキ</t>
    </rPh>
    <rPh sb="6" eb="8">
      <t>カイシュウ</t>
    </rPh>
    <rPh sb="8" eb="10">
      <t>コウジ</t>
    </rPh>
    <phoneticPr fontId="1"/>
  </si>
  <si>
    <t>外部足場</t>
    <rPh sb="0" eb="2">
      <t>ガイブ</t>
    </rPh>
    <rPh sb="2" eb="4">
      <t>アシバ</t>
    </rPh>
    <phoneticPr fontId="1"/>
  </si>
  <si>
    <t>高圧洗浄にて外壁清掃　（外壁＋塀）</t>
    <rPh sb="0" eb="4">
      <t>コウアツセンジョウ</t>
    </rPh>
    <rPh sb="6" eb="8">
      <t>ガイヘキ</t>
    </rPh>
    <rPh sb="8" eb="10">
      <t>セイソウ</t>
    </rPh>
    <rPh sb="12" eb="14">
      <t>ガイヘキ</t>
    </rPh>
    <rPh sb="15" eb="16">
      <t>ヘイ</t>
    </rPh>
    <phoneticPr fontId="1"/>
  </si>
  <si>
    <t>外壁塗装　下地＋シリコン塗装２回塗り</t>
    <rPh sb="0" eb="2">
      <t>ガイヘキ</t>
    </rPh>
    <rPh sb="2" eb="4">
      <t>トソウ</t>
    </rPh>
    <rPh sb="5" eb="7">
      <t>シタジ</t>
    </rPh>
    <rPh sb="12" eb="14">
      <t>トソウ</t>
    </rPh>
    <rPh sb="15" eb="17">
      <t>カイヌ</t>
    </rPh>
    <phoneticPr fontId="1"/>
  </si>
  <si>
    <t>雨戸塗装　小</t>
    <rPh sb="0" eb="2">
      <t>アマド</t>
    </rPh>
    <rPh sb="2" eb="4">
      <t>トソウ</t>
    </rPh>
    <rPh sb="5" eb="6">
      <t>ショウ</t>
    </rPh>
    <phoneticPr fontId="1"/>
  </si>
  <si>
    <t>枚</t>
    <rPh sb="0" eb="1">
      <t>マイ</t>
    </rPh>
    <phoneticPr fontId="1"/>
  </si>
  <si>
    <t>雨戸塗装　大</t>
    <rPh sb="0" eb="2">
      <t>アマド</t>
    </rPh>
    <rPh sb="2" eb="4">
      <t>トソウ</t>
    </rPh>
    <rPh sb="5" eb="6">
      <t>ダイ</t>
    </rPh>
    <phoneticPr fontId="1"/>
  </si>
  <si>
    <t>受け樋、縦樋、庇　各所雑塗装</t>
    <rPh sb="0" eb="1">
      <t>ウ</t>
    </rPh>
    <rPh sb="2" eb="3">
      <t>トイ</t>
    </rPh>
    <rPh sb="4" eb="5">
      <t>タテ</t>
    </rPh>
    <rPh sb="5" eb="6">
      <t>トイ</t>
    </rPh>
    <rPh sb="7" eb="8">
      <t>ヒサシ</t>
    </rPh>
    <rPh sb="9" eb="11">
      <t>カクショ</t>
    </rPh>
    <rPh sb="11" eb="12">
      <t>ザツ</t>
    </rPh>
    <rPh sb="12" eb="14">
      <t>トソウ</t>
    </rPh>
    <phoneticPr fontId="1"/>
  </si>
  <si>
    <t>塀塗装　シリコン塗装</t>
    <rPh sb="0" eb="1">
      <t>ヘイ</t>
    </rPh>
    <rPh sb="1" eb="3">
      <t>トソウ</t>
    </rPh>
    <rPh sb="8" eb="10">
      <t>トソウ</t>
    </rPh>
    <phoneticPr fontId="1"/>
  </si>
  <si>
    <t>シャッター塗装</t>
    <rPh sb="5" eb="7">
      <t>トソウ</t>
    </rPh>
    <phoneticPr fontId="1"/>
  </si>
  <si>
    <t>ウレタン塗装</t>
    <rPh sb="4" eb="6">
      <t>トソウ</t>
    </rPh>
    <phoneticPr fontId="1"/>
  </si>
  <si>
    <t>雑塗装、経費諸費用共</t>
    <rPh sb="0" eb="1">
      <t>ザツ</t>
    </rPh>
    <rPh sb="1" eb="3">
      <t>トソウ</t>
    </rPh>
    <rPh sb="4" eb="6">
      <t>ケイヒ</t>
    </rPh>
    <rPh sb="6" eb="9">
      <t>ショヒヨウ</t>
    </rPh>
    <rPh sb="9" eb="10">
      <t>トモ</t>
    </rPh>
    <phoneticPr fontId="1"/>
  </si>
  <si>
    <t>登録番号　T2810826383922　奈良県知事許可（般-8）第18816号</t>
    <rPh sb="0" eb="2">
      <t>トウロク</t>
    </rPh>
    <rPh sb="2" eb="4">
      <t>バンゴウ</t>
    </rPh>
    <phoneticPr fontId="1"/>
  </si>
  <si>
    <t>ワンベスト（株）様御中</t>
    <rPh sb="6" eb="7">
      <t>カブ</t>
    </rPh>
    <rPh sb="8" eb="9">
      <t>サマ</t>
    </rPh>
    <rPh sb="9" eb="11">
      <t>オンチュウ</t>
    </rPh>
    <phoneticPr fontId="1"/>
  </si>
  <si>
    <t>辰巳様邸</t>
    <rPh sb="0" eb="3">
      <t>タツミサマ</t>
    </rPh>
    <rPh sb="3" eb="4">
      <t>テイ</t>
    </rPh>
    <phoneticPr fontId="1"/>
  </si>
  <si>
    <t>外壁　高圧洗浄にて清掃</t>
    <rPh sb="0" eb="2">
      <t>ガイヘキ</t>
    </rPh>
    <rPh sb="3" eb="7">
      <t>コウアツセンジョウ</t>
    </rPh>
    <rPh sb="9" eb="11">
      <t>セイソウ</t>
    </rPh>
    <phoneticPr fontId="1"/>
  </si>
  <si>
    <t>SK化研　プレミアムシリコン　N-70</t>
    <rPh sb="2" eb="4">
      <t>カケン</t>
    </rPh>
    <phoneticPr fontId="1"/>
  </si>
  <si>
    <t>軒天塗装　艶消し水性塗料</t>
    <rPh sb="0" eb="2">
      <t>ノキテン</t>
    </rPh>
    <rPh sb="2" eb="4">
      <t>トソウ</t>
    </rPh>
    <rPh sb="5" eb="7">
      <t>ツヤケ</t>
    </rPh>
    <rPh sb="8" eb="10">
      <t>スイセイ</t>
    </rPh>
    <rPh sb="10" eb="12">
      <t>トリョウ</t>
    </rPh>
    <phoneticPr fontId="1"/>
  </si>
  <si>
    <t>雨戸　大</t>
    <rPh sb="0" eb="2">
      <t>アマド</t>
    </rPh>
    <rPh sb="3" eb="4">
      <t>ダイ</t>
    </rPh>
    <phoneticPr fontId="1"/>
  </si>
  <si>
    <t>ヶ所</t>
    <rPh sb="1" eb="2">
      <t>ショ</t>
    </rPh>
    <phoneticPr fontId="1"/>
  </si>
  <si>
    <t>雨戸　小</t>
    <rPh sb="0" eb="2">
      <t>アマド</t>
    </rPh>
    <rPh sb="3" eb="4">
      <t>ショウ</t>
    </rPh>
    <phoneticPr fontId="1"/>
  </si>
  <si>
    <t>a</t>
    <phoneticPr fontId="1"/>
  </si>
  <si>
    <t>竹本塗装店
奈良県橿原市見瀬町616-2
TEL:0744-35-5162FAX:0745-51-1864
代表：竹本直也</t>
    <phoneticPr fontId="1"/>
  </si>
  <si>
    <t>香芝市下田東</t>
    <rPh sb="0" eb="3">
      <t>カシバシ</t>
    </rPh>
    <rPh sb="3" eb="5">
      <t>シモダ</t>
    </rPh>
    <rPh sb="5" eb="6">
      <t>ヒガシ</t>
    </rPh>
    <phoneticPr fontId="1"/>
  </si>
  <si>
    <t>ベランダ　ウレタン防水</t>
    <rPh sb="9" eb="11">
      <t>ボウスイ</t>
    </rPh>
    <phoneticPr fontId="1"/>
  </si>
  <si>
    <t>高圧洗浄</t>
    <rPh sb="0" eb="4">
      <t>コウアツセンジョウ</t>
    </rPh>
    <phoneticPr fontId="1"/>
  </si>
  <si>
    <t>プライマー</t>
    <phoneticPr fontId="1"/>
  </si>
  <si>
    <t>防水層</t>
    <rPh sb="0" eb="3">
      <t>ボウスイソウ</t>
    </rPh>
    <phoneticPr fontId="1"/>
  </si>
  <si>
    <t>トップコート共</t>
    <rPh sb="6" eb="7">
      <t>トモ</t>
    </rPh>
    <phoneticPr fontId="1"/>
  </si>
  <si>
    <t>登録番号　T2810826383922　奈良県知事許可（般-8）第18816号</t>
    <rPh sb="0" eb="2">
      <t>トウロク</t>
    </rPh>
    <rPh sb="2" eb="4">
      <t>バンゴウ</t>
    </rPh>
    <rPh sb="20" eb="23">
      <t>ナラケン</t>
    </rPh>
    <rPh sb="23" eb="27">
      <t>チジキョカ</t>
    </rPh>
    <rPh sb="28" eb="29">
      <t>ハン</t>
    </rPh>
    <rPh sb="32" eb="33">
      <t>ダイ</t>
    </rPh>
    <rPh sb="38" eb="39">
      <t>ゴウ</t>
    </rPh>
    <phoneticPr fontId="1"/>
  </si>
  <si>
    <t>越打様邸</t>
    <rPh sb="0" eb="2">
      <t>コシウ</t>
    </rPh>
    <rPh sb="2" eb="3">
      <t>サマ</t>
    </rPh>
    <rPh sb="3" eb="4">
      <t>テイ</t>
    </rPh>
    <phoneticPr fontId="1"/>
  </si>
  <si>
    <t>越打様邸改修塗装工事</t>
    <rPh sb="0" eb="1">
      <t>コシ</t>
    </rPh>
    <rPh sb="1" eb="2">
      <t>ウ</t>
    </rPh>
    <rPh sb="2" eb="3">
      <t>サマ</t>
    </rPh>
    <rPh sb="3" eb="4">
      <t>テイ</t>
    </rPh>
    <rPh sb="4" eb="6">
      <t>カイシュウ</t>
    </rPh>
    <rPh sb="6" eb="8">
      <t>トソウ</t>
    </rPh>
    <rPh sb="8" eb="10">
      <t>コウジ</t>
    </rPh>
    <phoneticPr fontId="1"/>
  </si>
  <si>
    <t>外部高圧洗浄</t>
    <rPh sb="0" eb="2">
      <t>ガイブ</t>
    </rPh>
    <rPh sb="2" eb="6">
      <t>コウアツセンジョウ</t>
    </rPh>
    <phoneticPr fontId="1"/>
  </si>
  <si>
    <t>２液型シリコン塗料</t>
    <rPh sb="1" eb="2">
      <t>エキ</t>
    </rPh>
    <rPh sb="2" eb="3">
      <t>ガタ</t>
    </rPh>
    <rPh sb="7" eb="9">
      <t>トリョウ</t>
    </rPh>
    <phoneticPr fontId="1"/>
  </si>
  <si>
    <t>外壁塗装　軒裏共</t>
    <rPh sb="0" eb="2">
      <t>ガイヘキ</t>
    </rPh>
    <rPh sb="2" eb="4">
      <t>トソウ</t>
    </rPh>
    <rPh sb="5" eb="7">
      <t>ノキウラ</t>
    </rPh>
    <rPh sb="7" eb="8">
      <t>トモ</t>
    </rPh>
    <phoneticPr fontId="1"/>
  </si>
  <si>
    <t>SK化研</t>
    <rPh sb="2" eb="4">
      <t>カケン</t>
    </rPh>
    <phoneticPr fontId="1"/>
  </si>
  <si>
    <t>プレミアムシリコン</t>
    <phoneticPr fontId="1"/>
  </si>
  <si>
    <t>受け樋、縦樋等　雑塗装</t>
    <rPh sb="0" eb="1">
      <t>ウ</t>
    </rPh>
    <rPh sb="2" eb="3">
      <t>トイ</t>
    </rPh>
    <rPh sb="4" eb="5">
      <t>タテ</t>
    </rPh>
    <rPh sb="5" eb="6">
      <t>トイ</t>
    </rPh>
    <rPh sb="6" eb="7">
      <t>トウ</t>
    </rPh>
    <rPh sb="8" eb="9">
      <t>ザツ</t>
    </rPh>
    <rPh sb="9" eb="11">
      <t>トソウ</t>
    </rPh>
    <phoneticPr fontId="1"/>
  </si>
  <si>
    <t>登録番号　T2810826383922</t>
  </si>
  <si>
    <t>奈良県知事許可（般-8）第18816号</t>
    <phoneticPr fontId="1"/>
  </si>
  <si>
    <t>八房建設（株）様御中</t>
    <rPh sb="0" eb="2">
      <t>ヤツフサ</t>
    </rPh>
    <rPh sb="2" eb="4">
      <t>ケンセツ</t>
    </rPh>
    <rPh sb="5" eb="6">
      <t>カブ</t>
    </rPh>
    <rPh sb="7" eb="8">
      <t>サマ</t>
    </rPh>
    <rPh sb="8" eb="10">
      <t>オンチュウ</t>
    </rPh>
    <phoneticPr fontId="1"/>
  </si>
  <si>
    <t>奈良交通バス停改修工事</t>
    <rPh sb="0" eb="4">
      <t>ナラコウツウ</t>
    </rPh>
    <rPh sb="6" eb="7">
      <t>テイ</t>
    </rPh>
    <rPh sb="7" eb="9">
      <t>カイシュウ</t>
    </rPh>
    <rPh sb="9" eb="11">
      <t>コウジ</t>
    </rPh>
    <phoneticPr fontId="1"/>
  </si>
  <si>
    <t>東野坂町（バス停）</t>
    <rPh sb="0" eb="3">
      <t>ヒガシノサカ</t>
    </rPh>
    <rPh sb="3" eb="4">
      <t>マチ</t>
    </rPh>
    <rPh sb="7" eb="8">
      <t>テイ</t>
    </rPh>
    <phoneticPr fontId="1"/>
  </si>
  <si>
    <t>鉄部塗装</t>
    <rPh sb="0" eb="2">
      <t>テツブ</t>
    </rPh>
    <rPh sb="2" eb="4">
      <t>トソウ</t>
    </rPh>
    <phoneticPr fontId="1"/>
  </si>
  <si>
    <t>ケレン清掃、錆止め塗装</t>
    <rPh sb="3" eb="5">
      <t>セイソウ</t>
    </rPh>
    <rPh sb="6" eb="8">
      <t>サビト</t>
    </rPh>
    <rPh sb="9" eb="11">
      <t>トソウ</t>
    </rPh>
    <phoneticPr fontId="1"/>
  </si>
  <si>
    <t>上塗りウレタン塗装</t>
    <rPh sb="0" eb="2">
      <t>ウワヌ</t>
    </rPh>
    <rPh sb="7" eb="9">
      <t>トソウ</t>
    </rPh>
    <phoneticPr fontId="1"/>
  </si>
  <si>
    <t>①</t>
    <phoneticPr fontId="1"/>
  </si>
  <si>
    <t>関本邸改修工事</t>
    <rPh sb="0" eb="3">
      <t>セキモトテイ</t>
    </rPh>
    <rPh sb="3" eb="5">
      <t>カイシュウ</t>
    </rPh>
    <rPh sb="5" eb="7">
      <t>コウジ</t>
    </rPh>
    <phoneticPr fontId="1"/>
  </si>
  <si>
    <t>関本邸　建具改修工事</t>
    <rPh sb="0" eb="3">
      <t>セキモトテイ</t>
    </rPh>
    <rPh sb="4" eb="6">
      <t>タテグ</t>
    </rPh>
    <rPh sb="6" eb="8">
      <t>カイシュウ</t>
    </rPh>
    <rPh sb="8" eb="10">
      <t>コウジ</t>
    </rPh>
    <phoneticPr fontId="1"/>
  </si>
  <si>
    <t>木製建具塗装</t>
    <rPh sb="0" eb="2">
      <t>モクセイ</t>
    </rPh>
    <rPh sb="2" eb="4">
      <t>タテグ</t>
    </rPh>
    <rPh sb="4" eb="6">
      <t>トソウ</t>
    </rPh>
    <phoneticPr fontId="1"/>
  </si>
  <si>
    <t>箇所</t>
    <rPh sb="0" eb="2">
      <t>カショ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</si>
</sst>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76" formatCode="#,##0;\-#,##0;&quot;&quot;;@"/>
    <numFmt numFmtId="177" formatCode="_yyyyy/mm/dd"/>
    <numFmt numFmtId="178" formatCode="&quot;発行日： &quot;* yyyy&quot;年&quot;m&quot;月&quot;d&quot;日&quot;;@"/>
    <numFmt numFmtId="179" formatCode="&quot;有効期限： &quot;yyyy&quot;年&quot;m&quot;月&quot;d&quot;日&quot;;@"/>
    <numFmt numFmtId="180" formatCode="yyyy&quot;年&quot;m&quot;月&quot;d&quot;日&quot;;@"/>
    <numFmt numFmtId="181" formatCode="* ;@"/>
    <numFmt numFmtId="182" formatCode="&quot;¥&quot;#,###&quot;－&quot;;&quot;¥&quot;\-#,###&quot;－&quot;;&quot;&quot;;@"/>
    <numFmt numFmtId="183" formatCode="&quot;見積書番号： &quot;* 0;&quot;見積書番号： &quot;* 0;&quot;見積書番号： &quot;;&quot;見積書番号： &quot;* @"/>
    <numFmt numFmtId="184" formatCode="#,##0.0_ "/>
    <numFmt numFmtId="185" formatCode="0.0;[Red]0.0"/>
    <numFmt numFmtId="186" formatCode="0.0_);[Red]\(0.0\)"/>
    <numFmt numFmtId="187" formatCode="0.00;[Red]0.00"/>
  </numFmts>
  <fonts count="2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6"/>
      <color theme="0"/>
      <name val="メイリオ"/>
      <family val="3"/>
      <charset val="128"/>
    </font>
    <font>
      <sz val="16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9"/>
      <color theme="8" tint="-0.499984740745262"/>
      <name val="メイリオ"/>
      <family val="3"/>
      <charset val="128"/>
    </font>
    <font>
      <b/>
      <sz val="16"/>
      <color theme="8" tint="-0.499984740745262"/>
      <name val="メイリオ"/>
      <family val="3"/>
      <charset val="128"/>
    </font>
    <font>
      <b/>
      <sz val="18"/>
      <color theme="9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8" tint="-0.499984740745262"/>
      <name val="ＭＳ Ｐゴシック"/>
      <family val="3"/>
      <charset val="128"/>
      <scheme val="minor"/>
    </font>
    <font>
      <sz val="9"/>
      <color theme="9" tint="-0.499984740745262"/>
      <name val="ＭＳ Ｐゴシック"/>
      <family val="3"/>
      <charset val="128"/>
      <scheme val="minor"/>
    </font>
    <font>
      <b/>
      <sz val="18"/>
      <color theme="8" tint="-0.499984740745262"/>
      <name val="ＭＳ Ｐゴシック"/>
      <family val="3"/>
      <charset val="128"/>
      <scheme val="minor"/>
    </font>
    <font>
      <sz val="9"/>
      <color indexed="81"/>
      <name val="メイリオ"/>
      <family val="3"/>
      <charset val="128"/>
    </font>
    <font>
      <b/>
      <sz val="9"/>
      <color theme="1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499984740745262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499984740745262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10" fillId="0" borderId="1" xfId="0" applyFont="1" applyBorder="1" applyProtection="1">
      <alignment vertical="center"/>
      <protection locked="0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7" fillId="5" borderId="0" xfId="0" applyFont="1" applyFill="1">
      <alignment vertical="center"/>
    </xf>
    <xf numFmtId="0" fontId="8" fillId="0" borderId="3" xfId="0" applyFont="1" applyBorder="1">
      <alignment vertical="center"/>
    </xf>
    <xf numFmtId="0" fontId="8" fillId="2" borderId="12" xfId="0" applyFont="1" applyFill="1" applyBorder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horizontal="distributed" vertical="top" indent="1"/>
    </xf>
    <xf numFmtId="176" fontId="17" fillId="0" borderId="0" xfId="0" applyNumberFormat="1" applyFont="1" applyAlignment="1">
      <alignment horizontal="distributed" vertical="top" indent="1"/>
    </xf>
    <xf numFmtId="0" fontId="17" fillId="0" borderId="0" xfId="0" applyFont="1" applyAlignment="1">
      <alignment horizontal="distributed" vertical="top" indent="1"/>
    </xf>
    <xf numFmtId="0" fontId="20" fillId="0" borderId="0" xfId="0" applyFont="1" applyAlignment="1">
      <alignment vertical="top"/>
    </xf>
    <xf numFmtId="0" fontId="3" fillId="0" borderId="10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8" xfId="0" applyFont="1" applyBorder="1" applyAlignment="1" applyProtection="1">
      <alignment horizontal="left" vertical="top" wrapText="1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20" xfId="0" applyFont="1" applyBorder="1" applyAlignment="1" applyProtection="1">
      <alignment horizontal="left" vertical="top" wrapText="1"/>
      <protection locked="0"/>
    </xf>
    <xf numFmtId="0" fontId="4" fillId="0" borderId="2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4" fillId="0" borderId="22" xfId="0" applyFont="1" applyBorder="1" applyAlignment="1" applyProtection="1">
      <alignment horizontal="left" vertical="top" wrapText="1"/>
      <protection locked="0"/>
    </xf>
    <xf numFmtId="0" fontId="14" fillId="6" borderId="26" xfId="0" applyFont="1" applyFill="1" applyBorder="1" applyAlignment="1">
      <alignment horizontal="center" vertical="top"/>
    </xf>
    <xf numFmtId="0" fontId="14" fillId="6" borderId="11" xfId="0" applyFont="1" applyFill="1" applyBorder="1" applyAlignment="1">
      <alignment horizontal="center" vertical="top"/>
    </xf>
    <xf numFmtId="0" fontId="14" fillId="6" borderId="27" xfId="0" applyFont="1" applyFill="1" applyBorder="1" applyAlignment="1">
      <alignment horizontal="center" vertical="top"/>
    </xf>
    <xf numFmtId="176" fontId="4" fillId="0" borderId="26" xfId="0" applyNumberFormat="1" applyFont="1" applyBorder="1" applyAlignment="1">
      <alignment horizontal="right" vertical="top"/>
    </xf>
    <xf numFmtId="176" fontId="4" fillId="0" borderId="11" xfId="0" applyNumberFormat="1" applyFont="1" applyBorder="1" applyAlignment="1">
      <alignment horizontal="right" vertical="top"/>
    </xf>
    <xf numFmtId="176" fontId="4" fillId="0" borderId="27" xfId="0" applyNumberFormat="1" applyFont="1" applyBorder="1" applyAlignment="1">
      <alignment horizontal="right" vertical="top"/>
    </xf>
    <xf numFmtId="177" fontId="4" fillId="0" borderId="21" xfId="0" applyNumberFormat="1" applyFont="1" applyBorder="1" applyAlignment="1" applyProtection="1">
      <alignment horizontal="left" vertical="top"/>
      <protection locked="0"/>
    </xf>
    <xf numFmtId="177" fontId="4" fillId="0" borderId="10" xfId="0" applyNumberFormat="1" applyFont="1" applyBorder="1" applyAlignment="1" applyProtection="1">
      <alignment horizontal="left" vertical="top"/>
      <protection locked="0"/>
    </xf>
    <xf numFmtId="177" fontId="4" fillId="0" borderId="22" xfId="0" applyNumberFormat="1" applyFont="1" applyBorder="1" applyAlignment="1" applyProtection="1">
      <alignment horizontal="left" vertical="top"/>
      <protection locked="0"/>
    </xf>
    <xf numFmtId="185" fontId="4" fillId="0" borderId="21" xfId="0" applyNumberFormat="1" applyFont="1" applyBorder="1" applyAlignment="1" applyProtection="1">
      <alignment horizontal="right" vertical="top"/>
      <protection locked="0"/>
    </xf>
    <xf numFmtId="185" fontId="4" fillId="0" borderId="10" xfId="0" applyNumberFormat="1" applyFont="1" applyBorder="1" applyAlignment="1" applyProtection="1">
      <alignment horizontal="right" vertical="top"/>
      <protection locked="0"/>
    </xf>
    <xf numFmtId="185" fontId="4" fillId="0" borderId="22" xfId="0" applyNumberFormat="1" applyFont="1" applyBorder="1" applyAlignment="1" applyProtection="1">
      <alignment horizontal="right" vertical="top"/>
      <protection locked="0"/>
    </xf>
    <xf numFmtId="49" fontId="4" fillId="0" borderId="21" xfId="0" applyNumberFormat="1" applyFont="1" applyBorder="1" applyAlignment="1" applyProtection="1">
      <alignment horizontal="center" vertical="top"/>
      <protection locked="0"/>
    </xf>
    <xf numFmtId="49" fontId="4" fillId="0" borderId="10" xfId="0" applyNumberFormat="1" applyFont="1" applyBorder="1" applyAlignment="1" applyProtection="1">
      <alignment horizontal="center" vertical="top"/>
      <protection locked="0"/>
    </xf>
    <xf numFmtId="49" fontId="4" fillId="0" borderId="22" xfId="0" applyNumberFormat="1" applyFont="1" applyBorder="1" applyAlignment="1" applyProtection="1">
      <alignment horizontal="center" vertical="top"/>
      <protection locked="0"/>
    </xf>
    <xf numFmtId="176" fontId="4" fillId="0" borderId="21" xfId="0" applyNumberFormat="1" applyFont="1" applyBorder="1" applyAlignment="1" applyProtection="1">
      <alignment horizontal="right" vertical="top"/>
      <protection locked="0"/>
    </xf>
    <xf numFmtId="176" fontId="4" fillId="0" borderId="10" xfId="0" applyNumberFormat="1" applyFont="1" applyBorder="1" applyAlignment="1" applyProtection="1">
      <alignment horizontal="right" vertical="top"/>
      <protection locked="0"/>
    </xf>
    <xf numFmtId="176" fontId="4" fillId="0" borderId="22" xfId="0" applyNumberFormat="1" applyFont="1" applyBorder="1" applyAlignment="1" applyProtection="1">
      <alignment horizontal="right" vertical="top"/>
      <protection locked="0"/>
    </xf>
    <xf numFmtId="176" fontId="4" fillId="0" borderId="21" xfId="0" applyNumberFormat="1" applyFont="1" applyBorder="1" applyAlignment="1">
      <alignment horizontal="right" vertical="top"/>
    </xf>
    <xf numFmtId="176" fontId="4" fillId="0" borderId="10" xfId="0" applyNumberFormat="1" applyFont="1" applyBorder="1" applyAlignment="1">
      <alignment horizontal="right" vertical="top"/>
    </xf>
    <xf numFmtId="176" fontId="4" fillId="0" borderId="22" xfId="0" applyNumberFormat="1" applyFont="1" applyBorder="1" applyAlignment="1">
      <alignment horizontal="right" vertical="top"/>
    </xf>
    <xf numFmtId="176" fontId="4" fillId="0" borderId="21" xfId="0" applyNumberFormat="1" applyFont="1" applyBorder="1" applyAlignment="1" applyProtection="1">
      <alignment horizontal="left" vertical="top"/>
      <protection locked="0"/>
    </xf>
    <xf numFmtId="176" fontId="4" fillId="0" borderId="10" xfId="0" applyNumberFormat="1" applyFont="1" applyBorder="1" applyAlignment="1" applyProtection="1">
      <alignment horizontal="left" vertical="top"/>
      <protection locked="0"/>
    </xf>
    <xf numFmtId="176" fontId="4" fillId="0" borderId="22" xfId="0" applyNumberFormat="1" applyFont="1" applyBorder="1" applyAlignment="1" applyProtection="1">
      <alignment horizontal="left" vertical="top"/>
      <protection locked="0"/>
    </xf>
    <xf numFmtId="177" fontId="4" fillId="4" borderId="19" xfId="0" applyNumberFormat="1" applyFont="1" applyFill="1" applyBorder="1" applyAlignment="1" applyProtection="1">
      <alignment horizontal="left" vertical="top"/>
      <protection locked="0"/>
    </xf>
    <xf numFmtId="177" fontId="4" fillId="4" borderId="0" xfId="0" applyNumberFormat="1" applyFont="1" applyFill="1" applyAlignment="1" applyProtection="1">
      <alignment horizontal="left" vertical="top"/>
      <protection locked="0"/>
    </xf>
    <xf numFmtId="177" fontId="4" fillId="4" borderId="20" xfId="0" applyNumberFormat="1" applyFont="1" applyFill="1" applyBorder="1" applyAlignment="1" applyProtection="1">
      <alignment horizontal="left" vertical="top"/>
      <protection locked="0"/>
    </xf>
    <xf numFmtId="185" fontId="4" fillId="4" borderId="19" xfId="0" applyNumberFormat="1" applyFont="1" applyFill="1" applyBorder="1" applyAlignment="1" applyProtection="1">
      <alignment horizontal="right" vertical="top"/>
      <protection locked="0"/>
    </xf>
    <xf numFmtId="185" fontId="4" fillId="4" borderId="0" xfId="0" applyNumberFormat="1" applyFont="1" applyFill="1" applyAlignment="1" applyProtection="1">
      <alignment horizontal="right" vertical="top"/>
      <protection locked="0"/>
    </xf>
    <xf numFmtId="185" fontId="4" fillId="4" borderId="20" xfId="0" applyNumberFormat="1" applyFont="1" applyFill="1" applyBorder="1" applyAlignment="1" applyProtection="1">
      <alignment horizontal="right" vertical="top"/>
      <protection locked="0"/>
    </xf>
    <xf numFmtId="49" fontId="4" fillId="4" borderId="19" xfId="0" applyNumberFormat="1" applyFont="1" applyFill="1" applyBorder="1" applyAlignment="1" applyProtection="1">
      <alignment horizontal="center" vertical="top"/>
      <protection locked="0"/>
    </xf>
    <xf numFmtId="49" fontId="4" fillId="4" borderId="0" xfId="0" applyNumberFormat="1" applyFont="1" applyFill="1" applyAlignment="1" applyProtection="1">
      <alignment horizontal="center" vertical="top"/>
      <protection locked="0"/>
    </xf>
    <xf numFmtId="49" fontId="4" fillId="4" borderId="20" xfId="0" applyNumberFormat="1" applyFont="1" applyFill="1" applyBorder="1" applyAlignment="1" applyProtection="1">
      <alignment horizontal="center" vertical="top"/>
      <protection locked="0"/>
    </xf>
    <xf numFmtId="176" fontId="4" fillId="4" borderId="19" xfId="0" applyNumberFormat="1" applyFont="1" applyFill="1" applyBorder="1" applyAlignment="1" applyProtection="1">
      <alignment horizontal="right" vertical="top"/>
      <protection locked="0"/>
    </xf>
    <xf numFmtId="176" fontId="4" fillId="4" borderId="0" xfId="0" applyNumberFormat="1" applyFont="1" applyFill="1" applyAlignment="1" applyProtection="1">
      <alignment horizontal="right" vertical="top"/>
      <protection locked="0"/>
    </xf>
    <xf numFmtId="176" fontId="4" fillId="4" borderId="20" xfId="0" applyNumberFormat="1" applyFont="1" applyFill="1" applyBorder="1" applyAlignment="1" applyProtection="1">
      <alignment horizontal="right" vertical="top"/>
      <protection locked="0"/>
    </xf>
    <xf numFmtId="176" fontId="4" fillId="4" borderId="19" xfId="0" applyNumberFormat="1" applyFont="1" applyFill="1" applyBorder="1" applyAlignment="1">
      <alignment horizontal="right" vertical="top"/>
    </xf>
    <xf numFmtId="176" fontId="4" fillId="4" borderId="0" xfId="0" applyNumberFormat="1" applyFont="1" applyFill="1" applyAlignment="1">
      <alignment horizontal="right" vertical="top"/>
    </xf>
    <xf numFmtId="176" fontId="4" fillId="4" borderId="20" xfId="0" applyNumberFormat="1" applyFont="1" applyFill="1" applyBorder="1" applyAlignment="1">
      <alignment horizontal="right" vertical="top"/>
    </xf>
    <xf numFmtId="176" fontId="4" fillId="4" borderId="19" xfId="0" applyNumberFormat="1" applyFont="1" applyFill="1" applyBorder="1" applyAlignment="1" applyProtection="1">
      <alignment horizontal="left" vertical="top"/>
      <protection locked="0"/>
    </xf>
    <xf numFmtId="176" fontId="4" fillId="4" borderId="0" xfId="0" applyNumberFormat="1" applyFont="1" applyFill="1" applyAlignment="1" applyProtection="1">
      <alignment horizontal="left" vertical="top"/>
      <protection locked="0"/>
    </xf>
    <xf numFmtId="176" fontId="4" fillId="4" borderId="20" xfId="0" applyNumberFormat="1" applyFont="1" applyFill="1" applyBorder="1" applyAlignment="1" applyProtection="1">
      <alignment horizontal="left" vertical="top"/>
      <protection locked="0"/>
    </xf>
    <xf numFmtId="177" fontId="4" fillId="0" borderId="19" xfId="0" applyNumberFormat="1" applyFont="1" applyBorder="1" applyAlignment="1" applyProtection="1">
      <alignment horizontal="left" vertical="top"/>
      <protection locked="0"/>
    </xf>
    <xf numFmtId="177" fontId="4" fillId="0" borderId="0" xfId="0" applyNumberFormat="1" applyFont="1" applyAlignment="1" applyProtection="1">
      <alignment horizontal="left" vertical="top"/>
      <protection locked="0"/>
    </xf>
    <xf numFmtId="177" fontId="4" fillId="0" borderId="20" xfId="0" applyNumberFormat="1" applyFont="1" applyBorder="1" applyAlignment="1" applyProtection="1">
      <alignment horizontal="left" vertical="top"/>
      <protection locked="0"/>
    </xf>
    <xf numFmtId="185" fontId="4" fillId="0" borderId="19" xfId="0" applyNumberFormat="1" applyFont="1" applyBorder="1" applyAlignment="1" applyProtection="1">
      <alignment horizontal="right" vertical="top"/>
      <protection locked="0"/>
    </xf>
    <xf numFmtId="185" fontId="4" fillId="0" borderId="0" xfId="0" applyNumberFormat="1" applyFont="1" applyAlignment="1" applyProtection="1">
      <alignment horizontal="right" vertical="top"/>
      <protection locked="0"/>
    </xf>
    <xf numFmtId="185" fontId="4" fillId="0" borderId="20" xfId="0" applyNumberFormat="1" applyFont="1" applyBorder="1" applyAlignment="1" applyProtection="1">
      <alignment horizontal="right" vertical="top"/>
      <protection locked="0"/>
    </xf>
    <xf numFmtId="49" fontId="4" fillId="0" borderId="19" xfId="0" applyNumberFormat="1" applyFont="1" applyBorder="1" applyAlignment="1" applyProtection="1">
      <alignment horizontal="center" vertical="top"/>
      <protection locked="0"/>
    </xf>
    <xf numFmtId="49" fontId="4" fillId="0" borderId="0" xfId="0" applyNumberFormat="1" applyFont="1" applyAlignment="1" applyProtection="1">
      <alignment horizontal="center" vertical="top"/>
      <protection locked="0"/>
    </xf>
    <xf numFmtId="49" fontId="4" fillId="0" borderId="20" xfId="0" applyNumberFormat="1" applyFont="1" applyBorder="1" applyAlignment="1" applyProtection="1">
      <alignment horizontal="center" vertical="top"/>
      <protection locked="0"/>
    </xf>
    <xf numFmtId="176" fontId="4" fillId="0" borderId="19" xfId="0" applyNumberFormat="1" applyFont="1" applyBorder="1" applyAlignment="1" applyProtection="1">
      <alignment horizontal="right" vertical="top"/>
      <protection locked="0"/>
    </xf>
    <xf numFmtId="176" fontId="4" fillId="0" borderId="0" xfId="0" applyNumberFormat="1" applyFont="1" applyAlignment="1" applyProtection="1">
      <alignment horizontal="right" vertical="top"/>
      <protection locked="0"/>
    </xf>
    <xf numFmtId="176" fontId="4" fillId="0" borderId="20" xfId="0" applyNumberFormat="1" applyFont="1" applyBorder="1" applyAlignment="1" applyProtection="1">
      <alignment horizontal="right" vertical="top"/>
      <protection locked="0"/>
    </xf>
    <xf numFmtId="176" fontId="4" fillId="0" borderId="19" xfId="0" applyNumberFormat="1" applyFont="1" applyBorder="1" applyAlignment="1">
      <alignment horizontal="right" vertical="top"/>
    </xf>
    <xf numFmtId="176" fontId="4" fillId="0" borderId="0" xfId="0" applyNumberFormat="1" applyFont="1" applyAlignment="1">
      <alignment horizontal="right" vertical="top"/>
    </xf>
    <xf numFmtId="176" fontId="4" fillId="0" borderId="20" xfId="0" applyNumberFormat="1" applyFont="1" applyBorder="1" applyAlignment="1">
      <alignment horizontal="right" vertical="top"/>
    </xf>
    <xf numFmtId="176" fontId="4" fillId="0" borderId="19" xfId="0" applyNumberFormat="1" applyFont="1" applyBorder="1" applyAlignment="1" applyProtection="1">
      <alignment horizontal="left" vertical="top"/>
      <protection locked="0"/>
    </xf>
    <xf numFmtId="176" fontId="4" fillId="0" borderId="0" xfId="0" applyNumberFormat="1" applyFont="1" applyAlignment="1" applyProtection="1">
      <alignment horizontal="left" vertical="top"/>
      <protection locked="0"/>
    </xf>
    <xf numFmtId="176" fontId="4" fillId="0" borderId="20" xfId="0" applyNumberFormat="1" applyFont="1" applyBorder="1" applyAlignment="1" applyProtection="1">
      <alignment horizontal="left" vertical="top"/>
      <protection locked="0"/>
    </xf>
    <xf numFmtId="177" fontId="4" fillId="0" borderId="19" xfId="0" applyNumberFormat="1" applyFont="1" applyBorder="1" applyAlignment="1" applyProtection="1">
      <alignment horizontal="left" vertical="top" wrapText="1"/>
      <protection locked="0"/>
    </xf>
    <xf numFmtId="177" fontId="4" fillId="0" borderId="0" xfId="0" applyNumberFormat="1" applyFont="1" applyAlignment="1" applyProtection="1">
      <alignment horizontal="left" vertical="top" wrapText="1"/>
      <protection locked="0"/>
    </xf>
    <xf numFmtId="177" fontId="4" fillId="0" borderId="20" xfId="0" applyNumberFormat="1" applyFont="1" applyBorder="1" applyAlignment="1" applyProtection="1">
      <alignment horizontal="left" vertical="top" wrapText="1"/>
      <protection locked="0"/>
    </xf>
    <xf numFmtId="0" fontId="15" fillId="0" borderId="0" xfId="0" applyFont="1" applyAlignment="1">
      <alignment horizontal="distributed" vertical="center" indent="1"/>
    </xf>
    <xf numFmtId="0" fontId="7" fillId="0" borderId="0" xfId="0" applyFont="1" applyAlignment="1">
      <alignment horizontal="left" vertical="center"/>
    </xf>
    <xf numFmtId="183" fontId="13" fillId="0" borderId="10" xfId="0" quotePrefix="1" applyNumberFormat="1" applyFont="1" applyBorder="1" applyAlignment="1">
      <alignment horizontal="left" vertical="top"/>
    </xf>
    <xf numFmtId="178" fontId="13" fillId="0" borderId="0" xfId="0" applyNumberFormat="1" applyFont="1" applyAlignment="1">
      <alignment horizontal="left" vertical="top"/>
    </xf>
    <xf numFmtId="0" fontId="3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1" fillId="0" borderId="11" xfId="0" applyFont="1" applyBorder="1" applyAlignment="1">
      <alignment horizontal="distributed" vertical="top"/>
    </xf>
    <xf numFmtId="181" fontId="13" fillId="0" borderId="11" xfId="0" applyNumberFormat="1" applyFont="1" applyBorder="1" applyAlignment="1" applyProtection="1">
      <alignment horizontal="left" vertical="top" wrapText="1"/>
      <protection locked="0"/>
    </xf>
    <xf numFmtId="180" fontId="13" fillId="0" borderId="11" xfId="0" applyNumberFormat="1" applyFont="1" applyBorder="1" applyAlignment="1">
      <alignment horizontal="left" vertical="top" wrapText="1"/>
    </xf>
    <xf numFmtId="180" fontId="13" fillId="0" borderId="11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3" fillId="0" borderId="0" xfId="0" applyFont="1" applyAlignment="1" applyProtection="1">
      <alignment horizontal="left" vertical="top"/>
      <protection locked="0"/>
    </xf>
    <xf numFmtId="179" fontId="5" fillId="3" borderId="16" xfId="0" applyNumberFormat="1" applyFont="1" applyFill="1" applyBorder="1" applyAlignment="1">
      <alignment horizontal="center" vertical="center"/>
    </xf>
    <xf numFmtId="179" fontId="5" fillId="3" borderId="17" xfId="0" applyNumberFormat="1" applyFont="1" applyFill="1" applyBorder="1" applyAlignment="1">
      <alignment horizontal="center" vertical="center"/>
    </xf>
    <xf numFmtId="179" fontId="5" fillId="3" borderId="18" xfId="0" applyNumberFormat="1" applyFont="1" applyFill="1" applyBorder="1" applyAlignment="1">
      <alignment horizontal="center" vertical="center"/>
    </xf>
    <xf numFmtId="179" fontId="5" fillId="3" borderId="19" xfId="0" applyNumberFormat="1" applyFont="1" applyFill="1" applyBorder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179" fontId="5" fillId="3" borderId="20" xfId="0" applyNumberFormat="1" applyFont="1" applyFill="1" applyBorder="1" applyAlignment="1">
      <alignment horizontal="center" vertical="center"/>
    </xf>
    <xf numFmtId="179" fontId="5" fillId="3" borderId="21" xfId="0" applyNumberFormat="1" applyFont="1" applyFill="1" applyBorder="1" applyAlignment="1">
      <alignment horizontal="center" vertical="center"/>
    </xf>
    <xf numFmtId="179" fontId="5" fillId="3" borderId="10" xfId="0" applyNumberFormat="1" applyFont="1" applyFill="1" applyBorder="1" applyAlignment="1">
      <alignment horizontal="center" vertical="center"/>
    </xf>
    <xf numFmtId="179" fontId="5" fillId="3" borderId="22" xfId="0" applyNumberFormat="1" applyFont="1" applyFill="1" applyBorder="1" applyAlignment="1">
      <alignment horizontal="center" vertical="center"/>
    </xf>
    <xf numFmtId="182" fontId="6" fillId="4" borderId="16" xfId="0" applyNumberFormat="1" applyFont="1" applyFill="1" applyBorder="1" applyAlignment="1">
      <alignment horizontal="right" vertical="center"/>
    </xf>
    <xf numFmtId="182" fontId="6" fillId="4" borderId="17" xfId="0" applyNumberFormat="1" applyFont="1" applyFill="1" applyBorder="1" applyAlignment="1">
      <alignment horizontal="right" vertical="center"/>
    </xf>
    <xf numFmtId="182" fontId="6" fillId="4" borderId="18" xfId="0" applyNumberFormat="1" applyFont="1" applyFill="1" applyBorder="1" applyAlignment="1">
      <alignment horizontal="right" vertical="center"/>
    </xf>
    <xf numFmtId="182" fontId="6" fillId="4" borderId="19" xfId="0" applyNumberFormat="1" applyFont="1" applyFill="1" applyBorder="1" applyAlignment="1">
      <alignment horizontal="right" vertical="center"/>
    </xf>
    <xf numFmtId="182" fontId="6" fillId="4" borderId="0" xfId="0" applyNumberFormat="1" applyFont="1" applyFill="1" applyAlignment="1">
      <alignment horizontal="right" vertical="center"/>
    </xf>
    <xf numFmtId="182" fontId="6" fillId="4" borderId="20" xfId="0" applyNumberFormat="1" applyFont="1" applyFill="1" applyBorder="1" applyAlignment="1">
      <alignment horizontal="right" vertical="center"/>
    </xf>
    <xf numFmtId="182" fontId="6" fillId="4" borderId="21" xfId="0" applyNumberFormat="1" applyFont="1" applyFill="1" applyBorder="1" applyAlignment="1">
      <alignment horizontal="right" vertical="center"/>
    </xf>
    <xf numFmtId="182" fontId="6" fillId="4" borderId="10" xfId="0" applyNumberFormat="1" applyFont="1" applyFill="1" applyBorder="1" applyAlignment="1">
      <alignment horizontal="right" vertical="center"/>
    </xf>
    <xf numFmtId="182" fontId="6" fillId="4" borderId="22" xfId="0" applyNumberFormat="1" applyFont="1" applyFill="1" applyBorder="1" applyAlignment="1">
      <alignment horizontal="right" vertical="center"/>
    </xf>
    <xf numFmtId="0" fontId="11" fillId="0" borderId="10" xfId="0" applyFont="1" applyBorder="1" applyAlignment="1">
      <alignment horizontal="distributed" vertical="top"/>
    </xf>
    <xf numFmtId="0" fontId="11" fillId="0" borderId="10" xfId="0" applyFont="1" applyBorder="1" applyAlignment="1" applyProtection="1">
      <alignment horizontal="left" vertical="top"/>
      <protection locked="0"/>
    </xf>
    <xf numFmtId="0" fontId="14" fillId="6" borderId="26" xfId="0" applyFont="1" applyFill="1" applyBorder="1" applyAlignment="1">
      <alignment horizontal="distributed" vertical="top" wrapText="1" indent="2"/>
    </xf>
    <xf numFmtId="0" fontId="14" fillId="6" borderId="11" xfId="0" applyFont="1" applyFill="1" applyBorder="1" applyAlignment="1">
      <alignment horizontal="distributed" vertical="top" wrapText="1" indent="2"/>
    </xf>
    <xf numFmtId="0" fontId="14" fillId="6" borderId="27" xfId="0" applyFont="1" applyFill="1" applyBorder="1" applyAlignment="1">
      <alignment horizontal="distributed" vertical="top" wrapText="1" indent="2"/>
    </xf>
    <xf numFmtId="177" fontId="4" fillId="0" borderId="16" xfId="0" applyNumberFormat="1" applyFont="1" applyBorder="1" applyAlignment="1" applyProtection="1">
      <alignment horizontal="left" vertical="top"/>
      <protection locked="0"/>
    </xf>
    <xf numFmtId="177" fontId="4" fillId="0" borderId="17" xfId="0" applyNumberFormat="1" applyFont="1" applyBorder="1" applyAlignment="1" applyProtection="1">
      <alignment horizontal="left" vertical="top"/>
      <protection locked="0"/>
    </xf>
    <xf numFmtId="177" fontId="4" fillId="0" borderId="18" xfId="0" applyNumberFormat="1" applyFont="1" applyBorder="1" applyAlignment="1" applyProtection="1">
      <alignment horizontal="left" vertical="top"/>
      <protection locked="0"/>
    </xf>
    <xf numFmtId="185" fontId="4" fillId="0" borderId="16" xfId="0" applyNumberFormat="1" applyFont="1" applyBorder="1" applyAlignment="1" applyProtection="1">
      <alignment horizontal="right" vertical="top"/>
      <protection locked="0"/>
    </xf>
    <xf numFmtId="185" fontId="4" fillId="0" borderId="17" xfId="0" applyNumberFormat="1" applyFont="1" applyBorder="1" applyAlignment="1" applyProtection="1">
      <alignment horizontal="right" vertical="top"/>
      <protection locked="0"/>
    </xf>
    <xf numFmtId="185" fontId="4" fillId="0" borderId="18" xfId="0" applyNumberFormat="1" applyFont="1" applyBorder="1" applyAlignment="1" applyProtection="1">
      <alignment horizontal="right" vertical="top"/>
      <protection locked="0"/>
    </xf>
    <xf numFmtId="49" fontId="4" fillId="0" borderId="16" xfId="0" applyNumberFormat="1" applyFont="1" applyBorder="1" applyAlignment="1" applyProtection="1">
      <alignment horizontal="center" vertical="top"/>
      <protection locked="0"/>
    </xf>
    <xf numFmtId="49" fontId="4" fillId="0" borderId="17" xfId="0" applyNumberFormat="1" applyFont="1" applyBorder="1" applyAlignment="1" applyProtection="1">
      <alignment horizontal="center" vertical="top"/>
      <protection locked="0"/>
    </xf>
    <xf numFmtId="49" fontId="4" fillId="0" borderId="18" xfId="0" applyNumberFormat="1" applyFont="1" applyBorder="1" applyAlignment="1" applyProtection="1">
      <alignment horizontal="center" vertical="top"/>
      <protection locked="0"/>
    </xf>
    <xf numFmtId="176" fontId="4" fillId="0" borderId="16" xfId="0" applyNumberFormat="1" applyFont="1" applyBorder="1" applyAlignment="1" applyProtection="1">
      <alignment horizontal="right" vertical="top"/>
      <protection locked="0"/>
    </xf>
    <xf numFmtId="176" fontId="4" fillId="0" borderId="17" xfId="0" applyNumberFormat="1" applyFont="1" applyBorder="1" applyAlignment="1" applyProtection="1">
      <alignment horizontal="right" vertical="top"/>
      <protection locked="0"/>
    </xf>
    <xf numFmtId="176" fontId="4" fillId="0" borderId="18" xfId="0" applyNumberFormat="1" applyFont="1" applyBorder="1" applyAlignment="1" applyProtection="1">
      <alignment horizontal="right" vertical="top"/>
      <protection locked="0"/>
    </xf>
    <xf numFmtId="176" fontId="4" fillId="0" borderId="16" xfId="0" applyNumberFormat="1" applyFont="1" applyBorder="1" applyAlignment="1">
      <alignment horizontal="right" vertical="top"/>
    </xf>
    <xf numFmtId="176" fontId="4" fillId="0" borderId="17" xfId="0" applyNumberFormat="1" applyFont="1" applyBorder="1" applyAlignment="1">
      <alignment horizontal="right" vertical="top"/>
    </xf>
    <xf numFmtId="176" fontId="4" fillId="0" borderId="18" xfId="0" applyNumberFormat="1" applyFont="1" applyBorder="1" applyAlignment="1">
      <alignment horizontal="right" vertical="top"/>
    </xf>
    <xf numFmtId="176" fontId="4" fillId="0" borderId="16" xfId="0" applyNumberFormat="1" applyFont="1" applyBorder="1" applyAlignment="1" applyProtection="1">
      <alignment horizontal="left" vertical="top"/>
      <protection locked="0"/>
    </xf>
    <xf numFmtId="176" fontId="4" fillId="0" borderId="17" xfId="0" applyNumberFormat="1" applyFont="1" applyBorder="1" applyAlignment="1" applyProtection="1">
      <alignment horizontal="left" vertical="top"/>
      <protection locked="0"/>
    </xf>
    <xf numFmtId="176" fontId="4" fillId="0" borderId="18" xfId="0" applyNumberFormat="1" applyFont="1" applyBorder="1" applyAlignment="1" applyProtection="1">
      <alignment horizontal="left" vertical="top"/>
      <protection locked="0"/>
    </xf>
    <xf numFmtId="0" fontId="14" fillId="6" borderId="26" xfId="0" applyFont="1" applyFill="1" applyBorder="1" applyAlignment="1">
      <alignment horizontal="distributed" vertical="top" indent="3"/>
    </xf>
    <xf numFmtId="0" fontId="14" fillId="6" borderId="11" xfId="0" applyFont="1" applyFill="1" applyBorder="1" applyAlignment="1">
      <alignment horizontal="distributed" vertical="top" indent="3"/>
    </xf>
    <xf numFmtId="0" fontId="14" fillId="6" borderId="27" xfId="0" applyFont="1" applyFill="1" applyBorder="1" applyAlignment="1">
      <alignment horizontal="distributed" vertical="top" indent="3"/>
    </xf>
    <xf numFmtId="0" fontId="7" fillId="5" borderId="0" xfId="0" applyFont="1" applyFill="1" applyAlignment="1">
      <alignment horizontal="center" vertical="center"/>
    </xf>
    <xf numFmtId="0" fontId="4" fillId="0" borderId="17" xfId="0" applyFont="1" applyBorder="1" applyAlignment="1" applyProtection="1">
      <alignment horizontal="left" vertical="top"/>
      <protection locked="0"/>
    </xf>
    <xf numFmtId="0" fontId="4" fillId="0" borderId="18" xfId="0" applyFont="1" applyBorder="1" applyAlignment="1" applyProtection="1">
      <alignment horizontal="left" vertical="top"/>
      <protection locked="0"/>
    </xf>
    <xf numFmtId="0" fontId="4" fillId="0" borderId="19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0" fontId="4" fillId="0" borderId="21" xfId="0" applyFont="1" applyBorder="1" applyAlignment="1" applyProtection="1">
      <alignment horizontal="left" vertical="top"/>
      <protection locked="0"/>
    </xf>
    <xf numFmtId="0" fontId="4" fillId="0" borderId="10" xfId="0" applyFont="1" applyBorder="1" applyAlignment="1" applyProtection="1">
      <alignment horizontal="left" vertical="top"/>
      <protection locked="0"/>
    </xf>
    <xf numFmtId="0" fontId="4" fillId="0" borderId="22" xfId="0" applyFont="1" applyBorder="1" applyAlignment="1" applyProtection="1">
      <alignment horizontal="left" vertical="top"/>
      <protection locked="0"/>
    </xf>
    <xf numFmtId="0" fontId="14" fillId="6" borderId="23" xfId="0" applyFont="1" applyFill="1" applyBorder="1" applyAlignment="1">
      <alignment horizontal="center" vertical="top"/>
    </xf>
    <xf numFmtId="0" fontId="14" fillId="6" borderId="24" xfId="0" applyFont="1" applyFill="1" applyBorder="1" applyAlignment="1">
      <alignment horizontal="center" vertical="top"/>
    </xf>
    <xf numFmtId="0" fontId="14" fillId="6" borderId="25" xfId="0" applyFont="1" applyFill="1" applyBorder="1" applyAlignment="1">
      <alignment horizontal="center" vertical="top"/>
    </xf>
    <xf numFmtId="186" fontId="4" fillId="0" borderId="21" xfId="0" applyNumberFormat="1" applyFont="1" applyBorder="1" applyAlignment="1" applyProtection="1">
      <alignment horizontal="right" vertical="top"/>
      <protection locked="0"/>
    </xf>
    <xf numFmtId="186" fontId="4" fillId="0" borderId="10" xfId="0" applyNumberFormat="1" applyFont="1" applyBorder="1" applyAlignment="1" applyProtection="1">
      <alignment horizontal="right" vertical="top"/>
      <protection locked="0"/>
    </xf>
    <xf numFmtId="186" fontId="4" fillId="0" borderId="22" xfId="0" applyNumberFormat="1" applyFont="1" applyBorder="1" applyAlignment="1" applyProtection="1">
      <alignment horizontal="right" vertical="top"/>
      <protection locked="0"/>
    </xf>
    <xf numFmtId="186" fontId="4" fillId="4" borderId="19" xfId="0" applyNumberFormat="1" applyFont="1" applyFill="1" applyBorder="1" applyAlignment="1" applyProtection="1">
      <alignment horizontal="right" vertical="top"/>
      <protection locked="0"/>
    </xf>
    <xf numFmtId="186" fontId="4" fillId="4" borderId="0" xfId="0" applyNumberFormat="1" applyFont="1" applyFill="1" applyAlignment="1" applyProtection="1">
      <alignment horizontal="right" vertical="top"/>
      <protection locked="0"/>
    </xf>
    <xf numFmtId="186" fontId="4" fillId="4" borderId="20" xfId="0" applyNumberFormat="1" applyFont="1" applyFill="1" applyBorder="1" applyAlignment="1" applyProtection="1">
      <alignment horizontal="right" vertical="top"/>
      <protection locked="0"/>
    </xf>
    <xf numFmtId="186" fontId="4" fillId="0" borderId="19" xfId="0" applyNumberFormat="1" applyFont="1" applyBorder="1" applyAlignment="1" applyProtection="1">
      <alignment horizontal="right" vertical="top"/>
      <protection locked="0"/>
    </xf>
    <xf numFmtId="186" fontId="4" fillId="0" borderId="0" xfId="0" applyNumberFormat="1" applyFont="1" applyAlignment="1" applyProtection="1">
      <alignment horizontal="right" vertical="top"/>
      <protection locked="0"/>
    </xf>
    <xf numFmtId="186" fontId="4" fillId="0" borderId="20" xfId="0" applyNumberFormat="1" applyFont="1" applyBorder="1" applyAlignment="1" applyProtection="1">
      <alignment horizontal="right" vertical="top"/>
      <protection locked="0"/>
    </xf>
    <xf numFmtId="181" fontId="13" fillId="0" borderId="10" xfId="0" applyNumberFormat="1" applyFont="1" applyBorder="1" applyAlignment="1" applyProtection="1">
      <alignment horizontal="left" vertical="top" wrapText="1"/>
      <protection locked="0"/>
    </xf>
    <xf numFmtId="180" fontId="13" fillId="0" borderId="10" xfId="0" applyNumberFormat="1" applyFont="1" applyBorder="1" applyAlignment="1">
      <alignment horizontal="left" vertical="top" wrapText="1"/>
    </xf>
    <xf numFmtId="180" fontId="13" fillId="0" borderId="10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79" fontId="5" fillId="3" borderId="13" xfId="0" applyNumberFormat="1" applyFont="1" applyFill="1" applyBorder="1" applyAlignment="1">
      <alignment horizontal="center" vertical="center"/>
    </xf>
    <xf numFmtId="179" fontId="5" fillId="3" borderId="14" xfId="0" applyNumberFormat="1" applyFont="1" applyFill="1" applyBorder="1" applyAlignment="1">
      <alignment horizontal="center" vertical="center"/>
    </xf>
    <xf numFmtId="179" fontId="5" fillId="3" borderId="15" xfId="0" applyNumberFormat="1" applyFont="1" applyFill="1" applyBorder="1" applyAlignment="1">
      <alignment horizontal="center" vertical="center"/>
    </xf>
    <xf numFmtId="182" fontId="6" fillId="4" borderId="13" xfId="0" applyNumberFormat="1" applyFont="1" applyFill="1" applyBorder="1" applyAlignment="1">
      <alignment horizontal="right" vertical="center"/>
    </xf>
    <xf numFmtId="182" fontId="6" fillId="4" borderId="14" xfId="0" applyNumberFormat="1" applyFont="1" applyFill="1" applyBorder="1" applyAlignment="1">
      <alignment horizontal="right" vertical="center"/>
    </xf>
    <xf numFmtId="182" fontId="6" fillId="4" borderId="15" xfId="0" applyNumberFormat="1" applyFont="1" applyFill="1" applyBorder="1" applyAlignment="1">
      <alignment horizontal="right" vertical="center"/>
    </xf>
    <xf numFmtId="0" fontId="14" fillId="6" borderId="23" xfId="0" applyFont="1" applyFill="1" applyBorder="1" applyAlignment="1">
      <alignment horizontal="distributed" vertical="top" wrapText="1" indent="2"/>
    </xf>
    <xf numFmtId="0" fontId="14" fillId="6" borderId="24" xfId="0" applyFont="1" applyFill="1" applyBorder="1" applyAlignment="1">
      <alignment horizontal="distributed" vertical="top" wrapText="1" indent="2"/>
    </xf>
    <xf numFmtId="0" fontId="14" fillId="6" borderId="25" xfId="0" applyFont="1" applyFill="1" applyBorder="1" applyAlignment="1">
      <alignment horizontal="distributed" vertical="top" wrapText="1" indent="2"/>
    </xf>
    <xf numFmtId="186" fontId="4" fillId="0" borderId="16" xfId="0" applyNumberFormat="1" applyFont="1" applyBorder="1" applyAlignment="1" applyProtection="1">
      <alignment horizontal="right" vertical="top"/>
      <protection locked="0"/>
    </xf>
    <xf numFmtId="186" fontId="4" fillId="0" borderId="17" xfId="0" applyNumberFormat="1" applyFont="1" applyBorder="1" applyAlignment="1" applyProtection="1">
      <alignment horizontal="right" vertical="top"/>
      <protection locked="0"/>
    </xf>
    <xf numFmtId="186" fontId="4" fillId="0" borderId="18" xfId="0" applyNumberFormat="1" applyFont="1" applyBorder="1" applyAlignment="1" applyProtection="1">
      <alignment horizontal="right" vertical="top"/>
      <protection locked="0"/>
    </xf>
    <xf numFmtId="184" fontId="4" fillId="4" borderId="19" xfId="0" applyNumberFormat="1" applyFont="1" applyFill="1" applyBorder="1" applyAlignment="1" applyProtection="1">
      <alignment horizontal="right" vertical="top"/>
      <protection locked="0"/>
    </xf>
    <xf numFmtId="184" fontId="4" fillId="4" borderId="0" xfId="0" applyNumberFormat="1" applyFont="1" applyFill="1" applyAlignment="1" applyProtection="1">
      <alignment horizontal="right" vertical="top"/>
      <protection locked="0"/>
    </xf>
    <xf numFmtId="184" fontId="4" fillId="4" borderId="20" xfId="0" applyNumberFormat="1" applyFont="1" applyFill="1" applyBorder="1" applyAlignment="1" applyProtection="1">
      <alignment horizontal="right" vertical="top"/>
      <protection locked="0"/>
    </xf>
    <xf numFmtId="187" fontId="4" fillId="4" borderId="19" xfId="0" applyNumberFormat="1" applyFont="1" applyFill="1" applyBorder="1" applyAlignment="1" applyProtection="1">
      <alignment horizontal="right" vertical="top"/>
      <protection locked="0"/>
    </xf>
    <xf numFmtId="187" fontId="4" fillId="4" borderId="0" xfId="0" applyNumberFormat="1" applyFont="1" applyFill="1" applyAlignment="1" applyProtection="1">
      <alignment horizontal="right" vertical="top"/>
      <protection locked="0"/>
    </xf>
    <xf numFmtId="187" fontId="4" fillId="4" borderId="20" xfId="0" applyNumberFormat="1" applyFont="1" applyFill="1" applyBorder="1" applyAlignment="1" applyProtection="1">
      <alignment horizontal="right" vertical="top"/>
      <protection locked="0"/>
    </xf>
    <xf numFmtId="187" fontId="4" fillId="0" borderId="19" xfId="0" applyNumberFormat="1" applyFont="1" applyBorder="1" applyAlignment="1" applyProtection="1">
      <alignment horizontal="right" vertical="top"/>
      <protection locked="0"/>
    </xf>
    <xf numFmtId="187" fontId="4" fillId="0" borderId="0" xfId="0" applyNumberFormat="1" applyFont="1" applyAlignment="1" applyProtection="1">
      <alignment horizontal="right" vertical="top"/>
      <protection locked="0"/>
    </xf>
    <xf numFmtId="187" fontId="4" fillId="0" borderId="20" xfId="0" applyNumberFormat="1" applyFont="1" applyBorder="1" applyAlignment="1" applyProtection="1">
      <alignment horizontal="right" vertical="top"/>
      <protection locked="0"/>
    </xf>
    <xf numFmtId="187" fontId="4" fillId="0" borderId="16" xfId="0" applyNumberFormat="1" applyFont="1" applyBorder="1" applyAlignment="1" applyProtection="1">
      <alignment horizontal="right" vertical="top"/>
      <protection locked="0"/>
    </xf>
    <xf numFmtId="187" fontId="4" fillId="0" borderId="17" xfId="0" applyNumberFormat="1" applyFont="1" applyBorder="1" applyAlignment="1" applyProtection="1">
      <alignment horizontal="right" vertical="top"/>
      <protection locked="0"/>
    </xf>
    <xf numFmtId="187" fontId="4" fillId="0" borderId="18" xfId="0" applyNumberFormat="1" applyFont="1" applyBorder="1" applyAlignment="1" applyProtection="1">
      <alignment horizontal="right" vertical="top"/>
      <protection locked="0"/>
    </xf>
    <xf numFmtId="187" fontId="4" fillId="0" borderId="21" xfId="0" applyNumberFormat="1" applyFont="1" applyBorder="1" applyAlignment="1" applyProtection="1">
      <alignment horizontal="right" vertical="top"/>
      <protection locked="0"/>
    </xf>
    <xf numFmtId="187" fontId="4" fillId="0" borderId="10" xfId="0" applyNumberFormat="1" applyFont="1" applyBorder="1" applyAlignment="1" applyProtection="1">
      <alignment horizontal="right" vertical="top"/>
      <protection locked="0"/>
    </xf>
    <xf numFmtId="187" fontId="4" fillId="0" borderId="22" xfId="0" applyNumberFormat="1" applyFont="1" applyBorder="1" applyAlignment="1" applyProtection="1">
      <alignment horizontal="right" vertical="top"/>
      <protection locked="0"/>
    </xf>
    <xf numFmtId="0" fontId="7" fillId="0" borderId="0" xfId="0" applyFont="1" applyAlignment="1">
      <alignment horizontal="center"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C94CDD-66D1-46F2-A57F-1E8767A74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A760EA-83EF-4BD1-B7A0-2E047099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A5F84009-6308-42BF-AE19-250258A239AC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B2384F72-27E1-4FDD-A6FB-9433F6374A74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AE8B193-12B4-4BD9-9BFB-93408A927ED3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D73AB134-9D8D-4165-8B64-87460380DE11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78687203-2003-445E-8C60-CE8CF762B2BF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2C9E8509-E2E7-4B83-9151-02D869B2646C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33D1C44E-E9B1-4F18-8CDC-E232A7B76A4C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0D50A76-0A9F-48C9-A25D-265D4C69DC36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F39EA9C-F45C-4A11-9BDF-566DAD779638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6B7268E-E4D6-4984-9EB6-612BE9919C39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B7B5D60C-ACD6-417B-8ABD-7BBE9C92F9A6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C5237FC9-EBAC-4C19-813E-60ECA378A0AD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3DA8CD4D-D007-465C-8870-10743DF4C956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526E1201-8DEE-4A0C-B56B-64CF52FFD4C7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33</xdr:col>
      <xdr:colOff>83820</xdr:colOff>
      <xdr:row>23</xdr:row>
      <xdr:rowOff>121920</xdr:rowOff>
    </xdr:from>
    <xdr:to>
      <xdr:col>35</xdr:col>
      <xdr:colOff>143698</xdr:colOff>
      <xdr:row>25</xdr:row>
      <xdr:rowOff>91481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7277DDE-CE47-4FCF-B34B-BAD96080C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364480" y="3970020"/>
          <a:ext cx="379918" cy="365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CAF6A4-70CC-4E2E-965D-E20BDC0F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26AD78-F833-4F65-A4EB-97D4B34D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D7C3A64B-4EDC-4E28-9CAD-20B684D04D8F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526D5620-EF64-4B1A-AE5B-87639B258D69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AE81EFF-81CB-4945-84A4-2A4E7DC192B2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7783FA8C-979B-4D94-BD05-B128615917DD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20B80DFF-9BB9-4C03-96CC-D6F406F20C1D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8D755EFB-0914-48DF-BEB0-4758633565BA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535F9C1D-4DA4-45BE-BE97-E577FF274544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F51F727-D73B-445A-95DA-6D01EE2899FD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0A40369-3FCE-4BC1-8A73-70A7A2676B0B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15698F8-9348-4D72-B090-324D50E904D2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D05B9537-B1F9-421A-AC73-1AB247221589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AA20D2E9-CDA8-404B-B189-852C66CF7AB3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BBFBE275-0C7C-43C0-BDFA-72D2DB14C1B2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F430E85D-7C8C-496D-90D8-ADD4EF365EE6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33</xdr:col>
      <xdr:colOff>83820</xdr:colOff>
      <xdr:row>23</xdr:row>
      <xdr:rowOff>121920</xdr:rowOff>
    </xdr:from>
    <xdr:to>
      <xdr:col>35</xdr:col>
      <xdr:colOff>143698</xdr:colOff>
      <xdr:row>25</xdr:row>
      <xdr:rowOff>91481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56FFCAF-E678-4D58-981E-09ECE5D62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364480" y="3970020"/>
          <a:ext cx="379918" cy="365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486274" y="1285876"/>
          <a:ext cx="2600325" cy="9334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19" name="Rectangle 2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657725" y="2362201"/>
          <a:ext cx="2562225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15" name="Text Box 2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0296525" y="361951"/>
          <a:ext cx="457200" cy="623887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14" name="Rectangle 2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61926" y="1076324"/>
          <a:ext cx="3295650" cy="9715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23" name="Rectangle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790700" y="3276600"/>
          <a:ext cx="4029075" cy="638176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24" name="Rectangle 2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1781175" y="4067175"/>
          <a:ext cx="2771776" cy="2571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600326" y="514351"/>
          <a:ext cx="2105024" cy="51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676777" y="2905125"/>
          <a:ext cx="2409823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0572750" y="733426"/>
          <a:ext cx="2371725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25" name="テキスト ボックス 2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953750" y="466725"/>
          <a:ext cx="313532" cy="3905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5762625" y="4791075"/>
          <a:ext cx="1295400" cy="41148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20" name="Rectangle 2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333375" y="2324101"/>
          <a:ext cx="4229099" cy="2667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33</xdr:col>
      <xdr:colOff>83820</xdr:colOff>
      <xdr:row>23</xdr:row>
      <xdr:rowOff>121920</xdr:rowOff>
    </xdr:from>
    <xdr:to>
      <xdr:col>35</xdr:col>
      <xdr:colOff>143698</xdr:colOff>
      <xdr:row>25</xdr:row>
      <xdr:rowOff>91481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15201B-0115-468B-BBC0-4B5ED29D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364480" y="3970020"/>
          <a:ext cx="379918" cy="3658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438F9CA-050D-4E96-8CC1-24C9E485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970ABD-2E1C-449D-B872-264F72352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3DE89D71-F040-4AF1-996C-F8ED8E9A8D22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BA0E54B4-A2B3-4DC9-BC71-342C3B5F1392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654C66-1BC5-479F-BDA1-CDA44EF08864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E7DE9ADB-E961-4A1E-A0F0-A86FF3D5E6B4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50CB564C-9839-4352-AD83-B28B1D47DC86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ED010CC5-682A-4246-A9C9-E33A77C46DF3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9AF0BFAF-E513-4542-BA66-8702314A59EB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A2F3160-1577-44FF-BC03-6338A27C8232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953CCE2-8561-4544-B470-259C74BB43CA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EBCB845-37CF-4CC6-8787-F58EBA017B18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A8D441A5-F55D-412A-9956-369873F674E1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1D47159B-0374-41FE-B6D4-A107E4B8FC77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8B2042F0-B655-4B01-9510-794ECF042A23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A65C6C78-1194-4B8A-B13B-BDAABE74D3BA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33</xdr:col>
      <xdr:colOff>83820</xdr:colOff>
      <xdr:row>23</xdr:row>
      <xdr:rowOff>121920</xdr:rowOff>
    </xdr:from>
    <xdr:to>
      <xdr:col>35</xdr:col>
      <xdr:colOff>143698</xdr:colOff>
      <xdr:row>25</xdr:row>
      <xdr:rowOff>91481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59E875B-2C04-4B7D-8C29-CAA4F790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364480" y="3970020"/>
          <a:ext cx="379918" cy="3658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59439D-92D3-4BBE-9B37-92443B18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E23FB8-693A-459C-A4E2-E5F11900B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3BEE953D-2D15-4AC7-AEB4-049CC7822BB1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ADD18F65-C95B-45A5-B0BC-ADE6F8699D19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70DF3F-81B2-497A-A364-7161B4B5C446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B15A26B5-98CF-4E74-B02B-F3D795B3A2EC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8190231A-7D3F-498C-88E2-3EAAF4292654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D0897C22-70B1-4616-A950-A12923690ADA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B15BEE91-6820-4573-8E20-5EC292978244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828DF7B-CC97-4E45-BC34-0AE84ED54CC2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B83CF77-CFC8-4FD6-9319-02F7081434D9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9327F98-8F84-4BA0-A9C8-F1F881689055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14B779E6-092C-4D73-94BD-50D2AD4AE5A5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BB60B7ED-B680-40E5-A5D2-B6EE9AF974C6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AE242100-3CFB-4B33-BC90-1BD5CD594E07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3DFFD8EF-7770-4CEB-A18C-5B77F3363661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33</xdr:col>
      <xdr:colOff>83820</xdr:colOff>
      <xdr:row>23</xdr:row>
      <xdr:rowOff>121920</xdr:rowOff>
    </xdr:from>
    <xdr:to>
      <xdr:col>35</xdr:col>
      <xdr:colOff>143698</xdr:colOff>
      <xdr:row>25</xdr:row>
      <xdr:rowOff>91481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946760A-C6B5-46CF-B06A-4B5087A0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364480" y="3970020"/>
          <a:ext cx="379918" cy="3658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4B0CE2-94F7-45BB-BF2E-562C1CA26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0F40B46-E8DC-4264-A2BD-ACACA818C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69792479-D2D2-4B91-88F1-1F4C9718E20E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127635</xdr:rowOff>
    </xdr:from>
    <xdr:to>
      <xdr:col>26</xdr:col>
      <xdr:colOff>19050</xdr:colOff>
      <xdr:row>53</xdr:row>
      <xdr:rowOff>22860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B83D2F87-B721-4CBB-BC4A-21ECE4C45B58}"/>
            </a:ext>
          </a:extLst>
        </xdr:cNvPr>
        <xdr:cNvSpPr>
          <a:spLocks noChangeArrowheads="1"/>
        </xdr:cNvSpPr>
      </xdr:nvSpPr>
      <xdr:spPr bwMode="auto">
        <a:xfrm>
          <a:off x="152399" y="473011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E7ADE57-AE2B-4838-9EAC-F96F43A9B542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244A8D9F-D555-4023-AA5D-B950C1839F35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4049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DD863315-4964-42F0-B7D8-723B3A09CCD5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F64E5CD2-EF3F-438C-99E4-EBC9061E3B10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58E66345-AF60-453A-A9EB-14CA88250E0C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46385A0-24A4-46BF-A3E1-C1241AFF2734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8A21D24-AAA6-468B-9666-3A3AD5B1D8BA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263CDA3-F708-43CA-BDD3-E9064C33BB42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CB29D81D-1161-4646-B07B-ABDB036CBDD2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9DE38285-6F1F-423C-83AE-466D54A57444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45</xdr:col>
      <xdr:colOff>309879</xdr:colOff>
      <xdr:row>56</xdr:row>
      <xdr:rowOff>106045</xdr:rowOff>
    </xdr:from>
    <xdr:to>
      <xdr:col>60</xdr:col>
      <xdr:colOff>239395</xdr:colOff>
      <xdr:row>59</xdr:row>
      <xdr:rowOff>104140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16CBAE34-A644-4678-A261-08097C546823}"/>
            </a:ext>
          </a:extLst>
        </xdr:cNvPr>
        <xdr:cNvSpPr>
          <a:spLocks noChangeArrowheads="1"/>
        </xdr:cNvSpPr>
      </xdr:nvSpPr>
      <xdr:spPr bwMode="auto">
        <a:xfrm>
          <a:off x="7510779" y="9349105"/>
          <a:ext cx="6162676" cy="41211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55941D27-7C66-419D-BED7-764007B1E29B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53</xdr:col>
      <xdr:colOff>52068</xdr:colOff>
      <xdr:row>21</xdr:row>
      <xdr:rowOff>195580</xdr:rowOff>
    </xdr:from>
    <xdr:to>
      <xdr:col>54</xdr:col>
      <xdr:colOff>394781</xdr:colOff>
      <xdr:row>24</xdr:row>
      <xdr:rowOff>90211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30F1968-4E37-4325-9E2F-F8A03BF5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545318" y="362458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31</xdr:col>
      <xdr:colOff>99060</xdr:colOff>
      <xdr:row>22</xdr:row>
      <xdr:rowOff>82550</xdr:rowOff>
    </xdr:from>
    <xdr:to>
      <xdr:col>36</xdr:col>
      <xdr:colOff>76678</xdr:colOff>
      <xdr:row>26</xdr:row>
      <xdr:rowOff>64710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A16A02D-AEF6-4A5B-802A-B1AAAF29B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0" y="3732530"/>
          <a:ext cx="777718" cy="774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61AFEF-2B27-4556-B384-6159EF33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B30F71-5060-4B42-8E3D-B078F69B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158114</xdr:colOff>
      <xdr:row>7</xdr:row>
      <xdr:rowOff>142876</xdr:rowOff>
    </xdr:from>
    <xdr:to>
      <xdr:col>39</xdr:col>
      <xdr:colOff>43814</xdr:colOff>
      <xdr:row>12</xdr:row>
      <xdr:rowOff>150496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83CD51E5-0055-40A7-B4ED-4F6B6818FE77}"/>
            </a:ext>
          </a:extLst>
        </xdr:cNvPr>
        <xdr:cNvSpPr>
          <a:spLocks noChangeArrowheads="1"/>
        </xdr:cNvSpPr>
      </xdr:nvSpPr>
      <xdr:spPr bwMode="auto">
        <a:xfrm>
          <a:off x="3998594" y="12325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127635</xdr:rowOff>
    </xdr:from>
    <xdr:to>
      <xdr:col>26</xdr:col>
      <xdr:colOff>19050</xdr:colOff>
      <xdr:row>53</xdr:row>
      <xdr:rowOff>22860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20762E13-B479-42A9-9471-1687326C5DF6}"/>
            </a:ext>
          </a:extLst>
        </xdr:cNvPr>
        <xdr:cNvSpPr>
          <a:spLocks noChangeArrowheads="1"/>
        </xdr:cNvSpPr>
      </xdr:nvSpPr>
      <xdr:spPr bwMode="auto">
        <a:xfrm>
          <a:off x="152399" y="473011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746636F-28E9-414F-B0C9-CE4FFDED9CBD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11D11E66-A2F0-456A-A084-72F405868207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1405F6DB-8113-4584-A89D-ABAA635F3F24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F4880938-6C18-4506-879C-A9C17C925AA9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1125D9D8-EAD9-4FCE-AFE3-619AA404E3AE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56F9FF-B110-4BB4-865F-7099FF422687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8A15513-F629-4045-82EC-B54FC131E9F1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0276C1E-F29B-4B84-BC26-796DE3DBB294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240C05B6-96DF-44E3-894D-7B8DB6145473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D09028A8-FA45-41AC-9062-A776B51E829C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45</xdr:col>
      <xdr:colOff>309879</xdr:colOff>
      <xdr:row>56</xdr:row>
      <xdr:rowOff>106045</xdr:rowOff>
    </xdr:from>
    <xdr:to>
      <xdr:col>60</xdr:col>
      <xdr:colOff>239395</xdr:colOff>
      <xdr:row>59</xdr:row>
      <xdr:rowOff>104140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1A8C481A-FF4A-4876-97D6-9120382CC3D3}"/>
            </a:ext>
          </a:extLst>
        </xdr:cNvPr>
        <xdr:cNvSpPr>
          <a:spLocks noChangeArrowheads="1"/>
        </xdr:cNvSpPr>
      </xdr:nvSpPr>
      <xdr:spPr bwMode="auto">
        <a:xfrm>
          <a:off x="7739379" y="9281795"/>
          <a:ext cx="6279516" cy="5124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70D0CA21-7EA7-4FBC-91DC-E9CB42815F51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53</xdr:col>
      <xdr:colOff>140968</xdr:colOff>
      <xdr:row>20</xdr:row>
      <xdr:rowOff>144780</xdr:rowOff>
    </xdr:from>
    <xdr:to>
      <xdr:col>54</xdr:col>
      <xdr:colOff>483681</xdr:colOff>
      <xdr:row>23</xdr:row>
      <xdr:rowOff>39411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C88CF12-CB47-4AFE-A31A-9295D4F3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634218" y="337693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32</xdr:col>
      <xdr:colOff>68580</xdr:colOff>
      <xdr:row>22</xdr:row>
      <xdr:rowOff>76200</xdr:rowOff>
    </xdr:from>
    <xdr:to>
      <xdr:col>37</xdr:col>
      <xdr:colOff>69058</xdr:colOff>
      <xdr:row>26</xdr:row>
      <xdr:rowOff>58360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DD9DA02-93DC-4C3B-BC5C-B81AA22A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9220" y="3726180"/>
          <a:ext cx="800578" cy="774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9E5F6B-D05A-4C11-B085-A9A95D6C1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53B3A6-8472-4EA1-B4DC-4FF195733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5A228841-0DC2-425B-B274-338F4EF176DE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0F1B3F3C-8A16-4AF8-89C7-B29F2B804CF1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9C99EC2-BEAB-4D3C-BFC3-5A96138AFF7F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75471BF3-73BB-485D-8BCF-FA087C7F0E62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169616F5-232C-43AE-9255-117747CF356D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93BC8F7C-1C0F-4BEA-A311-288224B084AA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4FB55EB9-8CD2-4C7B-8DDB-14A976E31CE5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01DC86E-A35A-4275-B876-9A6A9564584B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52D6494-1042-4719-B3B4-86AB422E9894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5F49316-E021-4913-8035-74BAB03E6F7D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9EDAF4BB-6552-43CF-BFCA-6A7FB71E29E7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CAA6E4E4-B4E4-4332-8A60-621AFB5041C2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61610F5E-3B18-4D90-BD95-A0D8141BE0FE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355B9589-1B60-4CA2-A73B-B2EE16C54FBB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54</xdr:col>
      <xdr:colOff>204468</xdr:colOff>
      <xdr:row>21</xdr:row>
      <xdr:rowOff>93980</xdr:rowOff>
    </xdr:from>
    <xdr:to>
      <xdr:col>54</xdr:col>
      <xdr:colOff>731331</xdr:colOff>
      <xdr:row>23</xdr:row>
      <xdr:rowOff>185461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049027B-CE32-44B8-B93E-E6AE97A0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881868" y="352298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32</xdr:col>
      <xdr:colOff>45720</xdr:colOff>
      <xdr:row>22</xdr:row>
      <xdr:rowOff>83820</xdr:rowOff>
    </xdr:from>
    <xdr:to>
      <xdr:col>37</xdr:col>
      <xdr:colOff>46198</xdr:colOff>
      <xdr:row>26</xdr:row>
      <xdr:rowOff>65980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DD1FC97-4B23-424D-BC4C-7EEAACCC4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0" y="3733800"/>
          <a:ext cx="800578" cy="7746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85D129-ACFA-4665-9237-97A5B9BB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53</xdr:col>
      <xdr:colOff>177165</xdr:colOff>
      <xdr:row>10</xdr:row>
      <xdr:rowOff>3810</xdr:rowOff>
    </xdr:from>
    <xdr:to>
      <xdr:col>54</xdr:col>
      <xdr:colOff>503000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C98101-7B4C-4737-A197-64455970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98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81914</xdr:colOff>
      <xdr:row>8</xdr:row>
      <xdr:rowOff>20956</xdr:rowOff>
    </xdr:from>
    <xdr:to>
      <xdr:col>38</xdr:col>
      <xdr:colOff>127634</xdr:colOff>
      <xdr:row>12</xdr:row>
      <xdr:rowOff>144780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CC612DAC-633A-4DC2-BFF0-DE964C2E010F}"/>
            </a:ext>
          </a:extLst>
        </xdr:cNvPr>
        <xdr:cNvSpPr>
          <a:spLocks noChangeArrowheads="1"/>
        </xdr:cNvSpPr>
      </xdr:nvSpPr>
      <xdr:spPr bwMode="auto">
        <a:xfrm>
          <a:off x="3922394" y="1308736"/>
          <a:ext cx="2286000" cy="84010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142875</xdr:rowOff>
    </xdr:from>
    <xdr:to>
      <xdr:col>26</xdr:col>
      <xdr:colOff>19050</xdr:colOff>
      <xdr:row>53</xdr:row>
      <xdr:rowOff>38100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5FBC730B-2974-4F42-8C3A-15DC6F1F1F69}"/>
            </a:ext>
          </a:extLst>
        </xdr:cNvPr>
        <xdr:cNvSpPr>
          <a:spLocks noChangeArrowheads="1"/>
        </xdr:cNvSpPr>
      </xdr:nvSpPr>
      <xdr:spPr bwMode="auto">
        <a:xfrm>
          <a:off x="152399" y="474535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6738C3E-52D0-413F-8AA8-9D7E72C7800C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D583967B-31C1-40DE-A5B9-539BBC20049A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345DF97A-B553-40E3-B527-AA1B3133D6FC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6463E76F-26EB-4931-96AA-9E1BE566C9DB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315A6784-DE03-44FA-93E0-5AFB80F8EB99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FCE4F55-DC21-49D5-9418-02CB32C1B0F1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F03923F-2893-41EE-B8C1-CFCDD1AB1A3B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1D5E75C-1B02-4BA6-A81D-0397DFF02612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CC6CFB9C-6B6E-49F7-B27F-B96A1B1FB13E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54D4C080-8BDC-49E4-B0A5-E7956CE285DB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A67188FD-5EF7-4153-AF6E-4B4D950F1F0B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8165E813-BAAF-46D0-A364-44B33CA24C2D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54</xdr:col>
      <xdr:colOff>13968</xdr:colOff>
      <xdr:row>21</xdr:row>
      <xdr:rowOff>176530</xdr:rowOff>
    </xdr:from>
    <xdr:to>
      <xdr:col>54</xdr:col>
      <xdr:colOff>540831</xdr:colOff>
      <xdr:row>24</xdr:row>
      <xdr:rowOff>71161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577E51E-61FC-4CEA-A4CF-585994C2A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691368" y="360553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32</xdr:col>
      <xdr:colOff>99060</xdr:colOff>
      <xdr:row>22</xdr:row>
      <xdr:rowOff>60960</xdr:rowOff>
    </xdr:from>
    <xdr:to>
      <xdr:col>37</xdr:col>
      <xdr:colOff>99538</xdr:colOff>
      <xdr:row>26</xdr:row>
      <xdr:rowOff>43120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5E72C41-A866-424F-9B46-40799E8AC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3710940"/>
          <a:ext cx="800578" cy="774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2AE475-072F-40BF-A686-FE61DE2B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54</xdr:col>
      <xdr:colOff>62865</xdr:colOff>
      <xdr:row>10</xdr:row>
      <xdr:rowOff>3810</xdr:rowOff>
    </xdr:from>
    <xdr:to>
      <xdr:col>54</xdr:col>
      <xdr:colOff>571580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A46447-61F4-4D5F-9B2B-A5474B07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356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F057C408-E979-40EC-B85A-3E44E2EEDE8F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127635</xdr:rowOff>
    </xdr:from>
    <xdr:to>
      <xdr:col>26</xdr:col>
      <xdr:colOff>19050</xdr:colOff>
      <xdr:row>53</xdr:row>
      <xdr:rowOff>22860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E6B3007D-934B-4BFB-A9D2-9797722D70CF}"/>
            </a:ext>
          </a:extLst>
        </xdr:cNvPr>
        <xdr:cNvSpPr>
          <a:spLocks noChangeArrowheads="1"/>
        </xdr:cNvSpPr>
      </xdr:nvSpPr>
      <xdr:spPr bwMode="auto">
        <a:xfrm>
          <a:off x="152399" y="473011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5E6F9C3-26B6-4386-A748-3F7E0F29F87F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B102A44B-9FA0-462C-B63E-CAED02920A3D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3878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7E4D2D64-D898-43C3-80B6-5AF57D3335FD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4E170C96-16BC-421D-AD23-F8B22B2D5EFE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9B63F930-3056-4443-9E36-F068A76A8DA3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FAAC46E-1559-4353-B491-F58BA13649CA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B17A13F-406A-4B3E-8B36-808D6FA6653B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F614559-62EB-4B09-9C11-D278CAD4C053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7FB66222-A743-45AB-A718-807ADC6863E2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1683B084-AF62-43B3-866C-EF02650B3A6D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00512814-4351-487C-AC2F-55FD3C11F8EA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54</xdr:col>
      <xdr:colOff>970278</xdr:colOff>
      <xdr:row>21</xdr:row>
      <xdr:rowOff>148590</xdr:rowOff>
    </xdr:from>
    <xdr:to>
      <xdr:col>55</xdr:col>
      <xdr:colOff>354141</xdr:colOff>
      <xdr:row>24</xdr:row>
      <xdr:rowOff>43221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F8A9158-5561-4AB4-B12E-93EBAA225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380978" y="3600450"/>
          <a:ext cx="504003" cy="488991"/>
        </a:xfrm>
        <a:prstGeom prst="rect">
          <a:avLst/>
        </a:prstGeom>
      </xdr:spPr>
    </xdr:pic>
    <xdr:clientData/>
  </xdr:twoCellAnchor>
  <xdr:twoCellAnchor editAs="oneCell">
    <xdr:from>
      <xdr:col>32</xdr:col>
      <xdr:colOff>107705</xdr:colOff>
      <xdr:row>22</xdr:row>
      <xdr:rowOff>57150</xdr:rowOff>
    </xdr:from>
    <xdr:to>
      <xdr:col>37</xdr:col>
      <xdr:colOff>89378</xdr:colOff>
      <xdr:row>26</xdr:row>
      <xdr:rowOff>46930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CCB5BE3-A5E1-4169-9340-B88B2821F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8345" y="3707130"/>
          <a:ext cx="781773" cy="7822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2FC3D4-2C95-4FA7-8ACC-F5D6594F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54</xdr:col>
      <xdr:colOff>62865</xdr:colOff>
      <xdr:row>10</xdr:row>
      <xdr:rowOff>3810</xdr:rowOff>
    </xdr:from>
    <xdr:to>
      <xdr:col>54</xdr:col>
      <xdr:colOff>571580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C4CB3FF-12A8-4163-A888-DE9D7CEBF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356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5BF8D208-934F-48C6-A83D-334660AA758B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152399</xdr:colOff>
      <xdr:row>27</xdr:row>
      <xdr:rowOff>127635</xdr:rowOff>
    </xdr:from>
    <xdr:to>
      <xdr:col>26</xdr:col>
      <xdr:colOff>19050</xdr:colOff>
      <xdr:row>53</xdr:row>
      <xdr:rowOff>22860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F95008E8-4AEC-424F-B4AE-C3EF8C6F18A2}"/>
            </a:ext>
          </a:extLst>
        </xdr:cNvPr>
        <xdr:cNvSpPr>
          <a:spLocks noChangeArrowheads="1"/>
        </xdr:cNvSpPr>
      </xdr:nvSpPr>
      <xdr:spPr bwMode="auto">
        <a:xfrm>
          <a:off x="152399" y="473011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0A612C-7861-4573-93E7-F8FDA51F3161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47345893-7722-4B61-AF63-AEDF621B0218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2DE45532-29D9-4975-AA3B-1C43C99D1305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728CC71C-DC3F-4875-B33F-9FCC9682DBA1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EAB9471B-A5FD-400A-B679-D4DBF86A4A6C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962896E-6AF9-4524-BEC5-A5BD59C5673E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176E99E-7BCC-4508-A92C-C75C2F9C74A9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F30596A-46C5-43DD-8A97-D25FFB4536B1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91C58138-8D2A-444C-AA52-104B3C685771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DCAABB02-914D-47B0-B358-1E89C92CA378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B7570FC7-C79B-403B-A6A3-1D8E96307BF5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54</xdr:col>
      <xdr:colOff>970278</xdr:colOff>
      <xdr:row>21</xdr:row>
      <xdr:rowOff>148590</xdr:rowOff>
    </xdr:from>
    <xdr:to>
      <xdr:col>55</xdr:col>
      <xdr:colOff>354141</xdr:colOff>
      <xdr:row>24</xdr:row>
      <xdr:rowOff>43221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7454DB1-8BF1-497F-8CC5-1EA0F51E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647678" y="357759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32</xdr:col>
      <xdr:colOff>107705</xdr:colOff>
      <xdr:row>22</xdr:row>
      <xdr:rowOff>57150</xdr:rowOff>
    </xdr:from>
    <xdr:to>
      <xdr:col>37</xdr:col>
      <xdr:colOff>89378</xdr:colOff>
      <xdr:row>26</xdr:row>
      <xdr:rowOff>46930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9F49F08-EA81-41AE-9CEE-725223F8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905" y="3683000"/>
          <a:ext cx="807173" cy="7771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811529</xdr:colOff>
      <xdr:row>23</xdr:row>
      <xdr:rowOff>26669</xdr:rowOff>
    </xdr:from>
    <xdr:to>
      <xdr:col>46</xdr:col>
      <xdr:colOff>60979</xdr:colOff>
      <xdr:row>25</xdr:row>
      <xdr:rowOff>38119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141D77-4F71-4DC1-8A09-874514090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429" y="3874769"/>
          <a:ext cx="369590" cy="40769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54</xdr:col>
      <xdr:colOff>62865</xdr:colOff>
      <xdr:row>10</xdr:row>
      <xdr:rowOff>3810</xdr:rowOff>
    </xdr:from>
    <xdr:to>
      <xdr:col>54</xdr:col>
      <xdr:colOff>571580</xdr:colOff>
      <xdr:row>13</xdr:row>
      <xdr:rowOff>51515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067FD05-5022-41B9-BCB6-1B87531A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3565" y="1649730"/>
          <a:ext cx="508715" cy="565865"/>
        </a:xfrm>
        <a:prstGeom prst="rect">
          <a:avLst/>
        </a:prstGeom>
      </xdr:spPr>
    </xdr:pic>
    <xdr:clientData fLocksWithSheet="0" fPrintsWithSheet="0"/>
  </xdr:twoCellAnchor>
  <xdr:twoCellAnchor>
    <xdr:from>
      <xdr:col>24</xdr:col>
      <xdr:colOff>142874</xdr:colOff>
      <xdr:row>7</xdr:row>
      <xdr:rowOff>180976</xdr:rowOff>
    </xdr:from>
    <xdr:to>
      <xdr:col>39</xdr:col>
      <xdr:colOff>28574</xdr:colOff>
      <xdr:row>13</xdr:row>
      <xdr:rowOff>28576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D8B339B3-F593-4D20-B3AF-209B83C1E9C3}"/>
            </a:ext>
          </a:extLst>
        </xdr:cNvPr>
        <xdr:cNvSpPr>
          <a:spLocks noChangeArrowheads="1"/>
        </xdr:cNvSpPr>
      </xdr:nvSpPr>
      <xdr:spPr bwMode="auto">
        <a:xfrm>
          <a:off x="3983354" y="1270636"/>
          <a:ext cx="2286000" cy="9220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0</xdr:col>
      <xdr:colOff>160019</xdr:colOff>
      <xdr:row>27</xdr:row>
      <xdr:rowOff>5715</xdr:rowOff>
    </xdr:from>
    <xdr:to>
      <xdr:col>26</xdr:col>
      <xdr:colOff>26670</xdr:colOff>
      <xdr:row>52</xdr:row>
      <xdr:rowOff>60960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3A5415E6-4426-4C06-99F3-828373374D2B}"/>
            </a:ext>
          </a:extLst>
        </xdr:cNvPr>
        <xdr:cNvSpPr>
          <a:spLocks noChangeArrowheads="1"/>
        </xdr:cNvSpPr>
      </xdr:nvSpPr>
      <xdr:spPr bwMode="auto">
        <a:xfrm>
          <a:off x="160019" y="4608195"/>
          <a:ext cx="4027171" cy="405574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ja-JP" altLang="en-US"/>
        </a:p>
      </xdr:txBody>
    </xdr:sp>
    <xdr:clientData fPrintsWithSheet="0"/>
  </xdr:twoCellAnchor>
  <xdr:twoCellAnchor editAs="absolute">
    <xdr:from>
      <xdr:col>25</xdr:col>
      <xdr:colOff>133350</xdr:colOff>
      <xdr:row>14</xdr:row>
      <xdr:rowOff>9526</xdr:rowOff>
    </xdr:from>
    <xdr:to>
      <xdr:col>40</xdr:col>
      <xdr:colOff>1905</xdr:colOff>
      <xdr:row>16</xdr:row>
      <xdr:rowOff>123826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EDE32E6-0599-40E4-BB13-B506BC37A2C5}"/>
            </a:ext>
          </a:extLst>
        </xdr:cNvPr>
        <xdr:cNvSpPr txBox="1"/>
      </xdr:nvSpPr>
      <xdr:spPr>
        <a:xfrm>
          <a:off x="4133850" y="2333626"/>
          <a:ext cx="2268855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2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セル内で改行する場合は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Alt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キーを押しながら</a:t>
          </a:r>
          <a:r>
            <a:rPr kumimoji="1" lang="en-US" altLang="ja-JP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Enter</a:t>
          </a: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キーを押してください。</a:t>
          </a:r>
        </a:p>
      </xdr:txBody>
    </xdr:sp>
    <xdr:clientData fPrintsWithSheet="0"/>
  </xdr:twoCellAnchor>
  <xdr:twoCellAnchor>
    <xdr:from>
      <xdr:col>39</xdr:col>
      <xdr:colOff>161925</xdr:colOff>
      <xdr:row>2</xdr:row>
      <xdr:rowOff>28576</xdr:rowOff>
    </xdr:from>
    <xdr:to>
      <xdr:col>42</xdr:col>
      <xdr:colOff>76200</xdr:colOff>
      <xdr:row>60</xdr:row>
      <xdr:rowOff>104775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3E5524AD-04DC-4B85-B32B-BE6CB8DC3CF7}"/>
            </a:ext>
          </a:extLst>
        </xdr:cNvPr>
        <xdr:cNvSpPr txBox="1">
          <a:spLocks noChangeArrowheads="1"/>
        </xdr:cNvSpPr>
      </xdr:nvSpPr>
      <xdr:spPr bwMode="auto">
        <a:xfrm>
          <a:off x="6402705" y="356236"/>
          <a:ext cx="394335" cy="96316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66FF" mc:Ignorable="a14" a14:legacySpreadsheetColorIndex="4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0" bIns="0" anchor="b" upright="1"/>
        <a:lstStyle/>
        <a:p>
          <a:pPr marL="0" marR="0" lvl="0" indent="0" algn="l" defTabSz="914400" rtl="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</a:rPr>
            <a:t>このシートは保護がかかっています。修正される場合、保護の解除を行ってください。</a:t>
          </a:r>
          <a:endParaRPr kumimoji="0"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 fPrintsWithSheet="0"/>
  </xdr:twoCellAnchor>
  <xdr:twoCellAnchor>
    <xdr:from>
      <xdr:col>0</xdr:col>
      <xdr:colOff>161926</xdr:colOff>
      <xdr:row>6</xdr:row>
      <xdr:rowOff>171449</xdr:rowOff>
    </xdr:from>
    <xdr:to>
      <xdr:col>19</xdr:col>
      <xdr:colOff>19051</xdr:colOff>
      <xdr:row>12</xdr:row>
      <xdr:rowOff>19050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F1A74304-4331-4AE9-907A-182639C170A9}"/>
            </a:ext>
          </a:extLst>
        </xdr:cNvPr>
        <xdr:cNvSpPr>
          <a:spLocks noChangeArrowheads="1"/>
        </xdr:cNvSpPr>
      </xdr:nvSpPr>
      <xdr:spPr bwMode="auto">
        <a:xfrm>
          <a:off x="161926" y="1062989"/>
          <a:ext cx="2897505" cy="96012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161925</xdr:colOff>
      <xdr:row>19</xdr:row>
      <xdr:rowOff>76200</xdr:rowOff>
    </xdr:from>
    <xdr:to>
      <xdr:col>32</xdr:col>
      <xdr:colOff>28575</xdr:colOff>
      <xdr:row>23</xdr:row>
      <xdr:rowOff>19051</xdr:rowOff>
    </xdr:to>
    <xdr:sp macro="" textlink="">
      <xdr:nvSpPr>
        <xdr:cNvPr id="9" name="Rectangle 25">
          <a:extLst>
            <a:ext uri="{FF2B5EF4-FFF2-40B4-BE49-F238E27FC236}">
              <a16:creationId xmlns:a16="http://schemas.microsoft.com/office/drawing/2014/main" id="{C38137C5-4B5D-4923-BE42-BA28F179A80D}"/>
            </a:ext>
          </a:extLst>
        </xdr:cNvPr>
        <xdr:cNvSpPr>
          <a:spLocks noChangeArrowheads="1"/>
        </xdr:cNvSpPr>
      </xdr:nvSpPr>
      <xdr:spPr bwMode="auto">
        <a:xfrm>
          <a:off x="1602105" y="3238500"/>
          <a:ext cx="3547110" cy="6286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9</xdr:col>
      <xdr:colOff>152400</xdr:colOff>
      <xdr:row>23</xdr:row>
      <xdr:rowOff>171450</xdr:rowOff>
    </xdr:from>
    <xdr:to>
      <xdr:col>25</xdr:col>
      <xdr:colOff>28576</xdr:colOff>
      <xdr:row>25</xdr:row>
      <xdr:rowOff>28575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D616AF7B-3533-4CB0-BCEA-7FF627E2B21D}"/>
            </a:ext>
          </a:extLst>
        </xdr:cNvPr>
        <xdr:cNvSpPr>
          <a:spLocks noChangeArrowheads="1"/>
        </xdr:cNvSpPr>
      </xdr:nvSpPr>
      <xdr:spPr bwMode="auto">
        <a:xfrm>
          <a:off x="1592580" y="4019550"/>
          <a:ext cx="2436496" cy="25336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14</xdr:col>
      <xdr:colOff>66676</xdr:colOff>
      <xdr:row>3</xdr:row>
      <xdr:rowOff>133351</xdr:rowOff>
    </xdr:from>
    <xdr:to>
      <xdr:col>26</xdr:col>
      <xdr:colOff>0</xdr:colOff>
      <xdr:row>6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751CAED-BA53-4F34-92F7-C31E0D2DD7ED}"/>
            </a:ext>
          </a:extLst>
        </xdr:cNvPr>
        <xdr:cNvSpPr txBox="1"/>
      </xdr:nvSpPr>
      <xdr:spPr>
        <a:xfrm>
          <a:off x="2306956" y="506731"/>
          <a:ext cx="1853564" cy="50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赤文字・赤線枠は印刷されません。</a:t>
          </a:r>
        </a:p>
      </xdr:txBody>
    </xdr:sp>
    <xdr:clientData fPrintsWithSheet="0"/>
  </xdr:twoCellAnchor>
  <xdr:twoCellAnchor>
    <xdr:from>
      <xdr:col>25</xdr:col>
      <xdr:colOff>152402</xdr:colOff>
      <xdr:row>17</xdr:row>
      <xdr:rowOff>28575</xdr:rowOff>
    </xdr:from>
    <xdr:to>
      <xdr:col>39</xdr:col>
      <xdr:colOff>28575</xdr:colOff>
      <xdr:row>20</xdr:row>
      <xdr:rowOff>57150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EA20067-BFF9-4395-AC5C-E1DB760E3929}"/>
            </a:ext>
          </a:extLst>
        </xdr:cNvPr>
        <xdr:cNvSpPr txBox="1"/>
      </xdr:nvSpPr>
      <xdr:spPr>
        <a:xfrm>
          <a:off x="4152902" y="2870835"/>
          <a:ext cx="2116453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08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右上に赤い三角がついた項目にカーソルを合わせるとヘルプが表示されます。</a:t>
          </a:r>
        </a:p>
      </xdr:txBody>
    </xdr:sp>
    <xdr:clientData fPrintsWithSheet="0"/>
  </xdr:twoCellAnchor>
  <xdr:twoCellAnchor>
    <xdr:from>
      <xdr:col>53</xdr:col>
      <xdr:colOff>171450</xdr:colOff>
      <xdr:row>4</xdr:row>
      <xdr:rowOff>190501</xdr:rowOff>
    </xdr:from>
    <xdr:to>
      <xdr:col>56</xdr:col>
      <xdr:colOff>85725</xdr:colOff>
      <xdr:row>10</xdr:row>
      <xdr:rowOff>76201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3EECC64-2056-4835-9112-981DEEB81652}"/>
            </a:ext>
          </a:extLst>
        </xdr:cNvPr>
        <xdr:cNvSpPr txBox="1"/>
      </xdr:nvSpPr>
      <xdr:spPr>
        <a:xfrm>
          <a:off x="9399270" y="723901"/>
          <a:ext cx="2124075" cy="9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赤線枠内に入力ができます。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設定内容は、伝票内の計算結果や項目名に自動反映されます。</a:t>
          </a: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endParaRPr kumimoji="1" lang="en-US" altLang="ja-JP" sz="9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ct val="50000"/>
            </a:lnSpc>
          </a:pPr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伝票に入力後も、設定変更は可能です。</a:t>
          </a:r>
        </a:p>
      </xdr:txBody>
    </xdr:sp>
    <xdr:clientData fPrintsWithSheet="0"/>
  </xdr:twoCellAnchor>
  <xdr:twoCellAnchor>
    <xdr:from>
      <xdr:col>43</xdr:col>
      <xdr:colOff>95250</xdr:colOff>
      <xdr:row>3</xdr:row>
      <xdr:rowOff>85725</xdr:rowOff>
    </xdr:from>
    <xdr:to>
      <xdr:col>45</xdr:col>
      <xdr:colOff>46832</xdr:colOff>
      <xdr:row>29</xdr:row>
      <xdr:rowOff>85725</xdr:rowOff>
    </xdr:to>
    <xdr:sp macro="" textlink="">
      <xdr:nvSpPr>
        <xdr:cNvPr id="14" name="テキスト ボックス 23">
          <a:extLst>
            <a:ext uri="{FF2B5EF4-FFF2-40B4-BE49-F238E27FC236}">
              <a16:creationId xmlns:a16="http://schemas.microsoft.com/office/drawing/2014/main" id="{582869A4-81BC-4F18-BCCB-7DF073665F88}"/>
            </a:ext>
          </a:extLst>
        </xdr:cNvPr>
        <xdr:cNvSpPr txBox="1"/>
      </xdr:nvSpPr>
      <xdr:spPr>
        <a:xfrm>
          <a:off x="6976110" y="459105"/>
          <a:ext cx="271622" cy="454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kumimoji="1" lang="ja-JP" altLang="en-US" sz="16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▶先に伝票内容を設定してください。</a:t>
          </a:r>
        </a:p>
      </xdr:txBody>
    </xdr:sp>
    <xdr:clientData/>
  </xdr:twoCellAnchor>
  <xdr:twoCellAnchor>
    <xdr:from>
      <xdr:col>31</xdr:col>
      <xdr:colOff>152400</xdr:colOff>
      <xdr:row>27</xdr:row>
      <xdr:rowOff>133350</xdr:rowOff>
    </xdr:from>
    <xdr:to>
      <xdr:col>39</xdr:col>
      <xdr:colOff>0</xdr:colOff>
      <xdr:row>53</xdr:row>
      <xdr:rowOff>38100</xdr:rowOff>
    </xdr:to>
    <xdr:sp macro="" textlink="">
      <xdr:nvSpPr>
        <xdr:cNvPr id="15" name="Rectangle 25">
          <a:extLst>
            <a:ext uri="{FF2B5EF4-FFF2-40B4-BE49-F238E27FC236}">
              <a16:creationId xmlns:a16="http://schemas.microsoft.com/office/drawing/2014/main" id="{62741D9F-0900-4151-ABFF-7C763C31E1EB}"/>
            </a:ext>
          </a:extLst>
        </xdr:cNvPr>
        <xdr:cNvSpPr>
          <a:spLocks noChangeArrowheads="1"/>
        </xdr:cNvSpPr>
      </xdr:nvSpPr>
      <xdr:spPr bwMode="auto">
        <a:xfrm>
          <a:off x="5113020" y="4735830"/>
          <a:ext cx="1127760" cy="406527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11429</xdr:colOff>
      <xdr:row>56</xdr:row>
      <xdr:rowOff>112395</xdr:rowOff>
    </xdr:from>
    <xdr:to>
      <xdr:col>39</xdr:col>
      <xdr:colOff>17145</xdr:colOff>
      <xdr:row>59</xdr:row>
      <xdr:rowOff>110490</xdr:rowOff>
    </xdr:to>
    <xdr:sp macro="" textlink="">
      <xdr:nvSpPr>
        <xdr:cNvPr id="16" name="Rectangle 25">
          <a:extLst>
            <a:ext uri="{FF2B5EF4-FFF2-40B4-BE49-F238E27FC236}">
              <a16:creationId xmlns:a16="http://schemas.microsoft.com/office/drawing/2014/main" id="{ACBC88DF-87C0-4BBD-AC86-104345BEB08D}"/>
            </a:ext>
          </a:extLst>
        </xdr:cNvPr>
        <xdr:cNvSpPr>
          <a:spLocks noChangeArrowheads="1"/>
        </xdr:cNvSpPr>
      </xdr:nvSpPr>
      <xdr:spPr bwMode="auto">
        <a:xfrm>
          <a:off x="171449" y="9355455"/>
          <a:ext cx="6086476" cy="51625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>
    <xdr:from>
      <xdr:col>1</xdr:col>
      <xdr:colOff>152400</xdr:colOff>
      <xdr:row>13</xdr:row>
      <xdr:rowOff>133351</xdr:rowOff>
    </xdr:from>
    <xdr:to>
      <xdr:col>25</xdr:col>
      <xdr:colOff>38099</xdr:colOff>
      <xdr:row>15</xdr:row>
      <xdr:rowOff>38101</xdr:rowOff>
    </xdr:to>
    <xdr:sp macro="" textlink="">
      <xdr:nvSpPr>
        <xdr:cNvPr id="17" name="Rectangle 25">
          <a:extLst>
            <a:ext uri="{FF2B5EF4-FFF2-40B4-BE49-F238E27FC236}">
              <a16:creationId xmlns:a16="http://schemas.microsoft.com/office/drawing/2014/main" id="{C2735389-B566-4A83-85CF-DEEA46D19051}"/>
            </a:ext>
          </a:extLst>
        </xdr:cNvPr>
        <xdr:cNvSpPr>
          <a:spLocks noChangeArrowheads="1"/>
        </xdr:cNvSpPr>
      </xdr:nvSpPr>
      <xdr:spPr bwMode="auto">
        <a:xfrm>
          <a:off x="312420" y="2297431"/>
          <a:ext cx="3726179" cy="26289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54</xdr:col>
      <xdr:colOff>471168</xdr:colOff>
      <xdr:row>21</xdr:row>
      <xdr:rowOff>48260</xdr:rowOff>
    </xdr:from>
    <xdr:to>
      <xdr:col>54</xdr:col>
      <xdr:colOff>998031</xdr:colOff>
      <xdr:row>23</xdr:row>
      <xdr:rowOff>139741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3F7389B-019F-4080-86C3-A39210640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148568" y="3477260"/>
          <a:ext cx="526863" cy="485181"/>
        </a:xfrm>
        <a:prstGeom prst="rect">
          <a:avLst/>
        </a:prstGeom>
      </xdr:spPr>
    </xdr:pic>
    <xdr:clientData/>
  </xdr:twoCellAnchor>
  <xdr:twoCellAnchor editAs="oneCell">
    <xdr:from>
      <xdr:col>31</xdr:col>
      <xdr:colOff>145572</xdr:colOff>
      <xdr:row>22</xdr:row>
      <xdr:rowOff>77498</xdr:rowOff>
    </xdr:from>
    <xdr:to>
      <xdr:col>36</xdr:col>
      <xdr:colOff>120650</xdr:colOff>
      <xdr:row>26</xdr:row>
      <xdr:rowOff>60928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3F5A866-D6A2-0B7D-59AE-9FDF3C65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3672" y="3703348"/>
          <a:ext cx="800578" cy="770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square" rtlCol="0" anchor="t">
        <a:spAutoFit/>
      </a:bodyPr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21155A5-4574-4283-8459-AA3CFF576622}">
  <we:reference id="wa200005502" version="1.0.0.12" store="ja-JP" storeType="OMEX"/>
  <we:alternateReferences>
    <we:reference id="wa200005502" version="1.0.0.12" store="wa200005502" storeType="OMEX"/>
  </we:alternateReferences>
  <we:properties>
    <we:property name="docId" value="&quot;7lnaUGHQayEk551CSWC8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D2A7C22-4D58-45CC-A4CF-BB9E08333265}">
  <we:reference id="wa200009404" version="1.0.0.5" store="ja-JP" storeType="OMEX"/>
  <we:alternateReferences>
    <we:reference id="WA200009404" version="1.0.0.5" store="" storeType="OMEX"/>
  </we:alternateReferences>
  <we:properties>
    <we:property name="claude.fileId" value="&quot;45895d1a-5e51-4987-a8db-54282f1684e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4B35-A334-4B05-8CC1-DD7ABC4FE948}">
  <dimension ref="B2:BE71"/>
  <sheetViews>
    <sheetView showGridLines="0" topLeftCell="A25" zoomScaleNormal="100" zoomScaleSheetLayoutView="100" workbookViewId="0">
      <selection activeCell="AT47" sqref="AT47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45924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2025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9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24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 t="s">
        <v>19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28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2025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31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46022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43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00"/>
      <c r="R29" s="201"/>
      <c r="S29" s="202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179"/>
      <c r="R30" s="180"/>
      <c r="S30" s="181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79" t="s">
        <v>44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182"/>
      <c r="R31" s="183"/>
      <c r="S31" s="1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179"/>
      <c r="R32" s="180"/>
      <c r="S32" s="181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79" t="s">
        <v>45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182">
        <v>1</v>
      </c>
      <c r="R33" s="183"/>
      <c r="S33" s="184"/>
      <c r="T33" s="85" t="s">
        <v>46</v>
      </c>
      <c r="U33" s="86"/>
      <c r="V33" s="87"/>
      <c r="W33" s="88">
        <v>1413280</v>
      </c>
      <c r="X33" s="89"/>
      <c r="Y33" s="89"/>
      <c r="Z33" s="90"/>
      <c r="AA33" s="91">
        <f t="shared" si="0"/>
        <v>1413280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179"/>
      <c r="R34" s="180"/>
      <c r="S34" s="181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79" t="s">
        <v>47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182">
        <v>1</v>
      </c>
      <c r="R35" s="183"/>
      <c r="S35" s="184"/>
      <c r="T35" s="85" t="s">
        <v>46</v>
      </c>
      <c r="U35" s="86"/>
      <c r="V35" s="87"/>
      <c r="W35" s="88">
        <v>2308944</v>
      </c>
      <c r="X35" s="89"/>
      <c r="Y35" s="89"/>
      <c r="Z35" s="90"/>
      <c r="AA35" s="91">
        <f t="shared" si="0"/>
        <v>2308944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179"/>
      <c r="R36" s="180"/>
      <c r="S36" s="181"/>
      <c r="T36" s="67"/>
      <c r="U36" s="68"/>
      <c r="V36" s="69"/>
      <c r="W36" s="70"/>
      <c r="X36" s="71"/>
      <c r="Y36" s="71"/>
      <c r="Z36" s="72"/>
      <c r="AA36" s="73">
        <f t="shared" si="0"/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48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182">
        <v>1</v>
      </c>
      <c r="R37" s="183"/>
      <c r="S37" s="184"/>
      <c r="T37" s="85" t="s">
        <v>46</v>
      </c>
      <c r="U37" s="86"/>
      <c r="V37" s="87"/>
      <c r="W37" s="88">
        <v>242550</v>
      </c>
      <c r="X37" s="89"/>
      <c r="Y37" s="89"/>
      <c r="Z37" s="90"/>
      <c r="AA37" s="91">
        <f t="shared" si="0"/>
        <v>242550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179"/>
      <c r="R38" s="180"/>
      <c r="S38" s="181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79" t="s">
        <v>49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  <c r="Q39" s="182">
        <v>1</v>
      </c>
      <c r="R39" s="183"/>
      <c r="S39" s="184"/>
      <c r="T39" s="85" t="s">
        <v>46</v>
      </c>
      <c r="U39" s="86"/>
      <c r="V39" s="87"/>
      <c r="W39" s="88">
        <v>988460</v>
      </c>
      <c r="X39" s="89"/>
      <c r="Y39" s="89"/>
      <c r="Z39" s="90"/>
      <c r="AA39" s="91">
        <f t="shared" si="0"/>
        <v>988460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179"/>
      <c r="R40" s="180"/>
      <c r="S40" s="181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Q41" s="182"/>
      <c r="R41" s="183"/>
      <c r="S41" s="184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179"/>
      <c r="R42" s="180"/>
      <c r="S42" s="181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182"/>
      <c r="R43" s="183"/>
      <c r="S43" s="1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179"/>
      <c r="R44" s="180"/>
      <c r="S44" s="181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182"/>
      <c r="R45" s="183"/>
      <c r="S45" s="1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179"/>
      <c r="R46" s="180"/>
      <c r="S46" s="181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182"/>
      <c r="R47" s="183"/>
      <c r="S47" s="1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179"/>
      <c r="R48" s="180"/>
      <c r="S48" s="181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182"/>
      <c r="R49" s="183"/>
      <c r="S49" s="1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179"/>
      <c r="R50" s="180"/>
      <c r="S50" s="181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182"/>
      <c r="R51" s="183"/>
      <c r="S51" s="1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179"/>
      <c r="R52" s="180"/>
      <c r="S52" s="181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176"/>
      <c r="R53" s="177"/>
      <c r="S53" s="17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4953234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/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4953234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53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</mergeCells>
  <phoneticPr fontId="1"/>
  <dataValidations count="7">
    <dataValidation type="list" allowBlank="1" showInputMessage="1" showErrorMessage="1" sqref="AU6" xr:uid="{5D58EDB6-C873-46B9-A950-38167661D232}">
      <formula1>$AV$6:$AX$6</formula1>
    </dataValidation>
    <dataValidation type="list" allowBlank="1" showInputMessage="1" showErrorMessage="1" sqref="AU9" xr:uid="{394B0233-2ADE-4E02-9F20-522A1033EF20}">
      <formula1>$AV$9:$AX$9</formula1>
    </dataValidation>
    <dataValidation type="whole" imeMode="off" allowBlank="1" showInputMessage="1" showErrorMessage="1" sqref="BD17 AU11 AU17 AU21" xr:uid="{71343BD2-D515-4196-AB4A-CED79DD2FB5F}">
      <formula1>1970</formula1>
      <formula2>2100</formula2>
    </dataValidation>
    <dataValidation type="whole" imeMode="off" allowBlank="1" showInputMessage="1" showErrorMessage="1" sqref="BD18 AU12 AU18 AU22" xr:uid="{4C3242D1-0A5C-4D4F-A6CC-54296237E6C5}">
      <formula1>1</formula1>
      <formula2>12</formula2>
    </dataValidation>
    <dataValidation type="whole" imeMode="off" allowBlank="1" showInputMessage="1" showErrorMessage="1" sqref="BD19 AU13 AU19 AU23" xr:uid="{AD11AF23-FEB1-4D41-8FB2-0CB1B861A88B}">
      <formula1>1</formula1>
      <formula2>31</formula2>
    </dataValidation>
    <dataValidation imeMode="on" allowBlank="1" showInputMessage="1" showErrorMessage="1" sqref="B8:S12 Z9:AM13 C15:Y15 K21:AF23 K25:Y25 B29:P53 T29:V53 AG29:AM53 B58:AM60" xr:uid="{5DD38877-5E35-4465-8B4B-32F72F6DC3C6}"/>
    <dataValidation imeMode="off" allowBlank="1" showInputMessage="1" showErrorMessage="1" sqref="AU7 AU15 Q29:S53 W29:Z53" xr:uid="{D677D757-06DC-42A2-B176-A218955C7DBB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4158-0DB5-4BB1-B5D4-4984928EF031}">
  <dimension ref="B2:BE71"/>
  <sheetViews>
    <sheetView showGridLines="0" topLeftCell="A25" zoomScaleNormal="100" zoomScaleSheetLayoutView="100" workbookViewId="0">
      <selection activeCell="AT33" sqref="AT33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45924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2025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9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24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988460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28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2025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31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46022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43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00"/>
      <c r="R29" s="201"/>
      <c r="S29" s="202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179"/>
      <c r="R30" s="180"/>
      <c r="S30" s="181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79" t="s">
        <v>54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182"/>
      <c r="R31" s="183"/>
      <c r="S31" s="1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179"/>
      <c r="R32" s="180"/>
      <c r="S32" s="181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79" t="s">
        <v>55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182"/>
      <c r="R33" s="183"/>
      <c r="S33" s="184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56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179">
        <v>30</v>
      </c>
      <c r="R34" s="180"/>
      <c r="S34" s="181"/>
      <c r="T34" s="67" t="s">
        <v>57</v>
      </c>
      <c r="U34" s="68"/>
      <c r="V34" s="69"/>
      <c r="W34" s="70">
        <v>2500</v>
      </c>
      <c r="X34" s="71"/>
      <c r="Y34" s="71"/>
      <c r="Z34" s="72"/>
      <c r="AA34" s="73">
        <f t="shared" si="0"/>
        <v>75000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182"/>
      <c r="R35" s="183"/>
      <c r="S35" s="1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58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179"/>
      <c r="R36" s="180"/>
      <c r="S36" s="181"/>
      <c r="T36" s="67"/>
      <c r="U36" s="68"/>
      <c r="V36" s="69"/>
      <c r="W36" s="70"/>
      <c r="X36" s="71"/>
      <c r="Y36" s="71"/>
      <c r="Z36" s="72"/>
      <c r="AA36" s="73">
        <f t="shared" si="0"/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59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182">
        <v>870</v>
      </c>
      <c r="R37" s="183"/>
      <c r="S37" s="184"/>
      <c r="T37" s="85" t="s">
        <v>60</v>
      </c>
      <c r="U37" s="86"/>
      <c r="V37" s="87"/>
      <c r="W37" s="88">
        <v>600</v>
      </c>
      <c r="X37" s="89"/>
      <c r="Y37" s="89"/>
      <c r="Z37" s="90"/>
      <c r="AA37" s="91">
        <f t="shared" si="0"/>
        <v>522000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 t="s">
        <v>61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179"/>
      <c r="R38" s="180"/>
      <c r="S38" s="181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79" t="s">
        <v>62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  <c r="Q39" s="182">
        <v>120</v>
      </c>
      <c r="R39" s="183"/>
      <c r="S39" s="184"/>
      <c r="T39" s="85" t="s">
        <v>60</v>
      </c>
      <c r="U39" s="86"/>
      <c r="V39" s="87"/>
      <c r="W39" s="88">
        <v>800</v>
      </c>
      <c r="X39" s="89"/>
      <c r="Y39" s="89"/>
      <c r="Z39" s="90"/>
      <c r="AA39" s="91">
        <f t="shared" si="0"/>
        <v>96000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 t="s">
        <v>63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179"/>
      <c r="R40" s="180"/>
      <c r="S40" s="181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79" t="s">
        <v>64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Q41" s="182">
        <v>47</v>
      </c>
      <c r="R41" s="183"/>
      <c r="S41" s="184"/>
      <c r="T41" s="85" t="s">
        <v>60</v>
      </c>
      <c r="U41" s="86"/>
      <c r="V41" s="87"/>
      <c r="W41" s="88">
        <v>800</v>
      </c>
      <c r="X41" s="89"/>
      <c r="Y41" s="89"/>
      <c r="Z41" s="90"/>
      <c r="AA41" s="91">
        <f t="shared" si="0"/>
        <v>37600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 t="s">
        <v>63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179"/>
      <c r="R42" s="180"/>
      <c r="S42" s="181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 t="s">
        <v>65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182">
        <v>210</v>
      </c>
      <c r="R43" s="183"/>
      <c r="S43" s="184"/>
      <c r="T43" s="85" t="s">
        <v>60</v>
      </c>
      <c r="U43" s="86"/>
      <c r="V43" s="87"/>
      <c r="W43" s="88">
        <v>800</v>
      </c>
      <c r="X43" s="89"/>
      <c r="Y43" s="89"/>
      <c r="Z43" s="90"/>
      <c r="AA43" s="91">
        <f t="shared" si="0"/>
        <v>168000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 t="s">
        <v>63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179"/>
      <c r="R44" s="180"/>
      <c r="S44" s="181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182"/>
      <c r="R45" s="183"/>
      <c r="S45" s="1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179"/>
      <c r="R46" s="180"/>
      <c r="S46" s="181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182"/>
      <c r="R47" s="183"/>
      <c r="S47" s="1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179"/>
      <c r="R48" s="180"/>
      <c r="S48" s="181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182"/>
      <c r="R49" s="183"/>
      <c r="S49" s="1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179"/>
      <c r="R50" s="180"/>
      <c r="S50" s="181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182"/>
      <c r="R51" s="183"/>
      <c r="S51" s="1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179"/>
      <c r="R52" s="180"/>
      <c r="S52" s="181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176"/>
      <c r="R53" s="177"/>
      <c r="S53" s="17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898600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f>IF(exclusive,IF(roundUp,ROUNDUP(AA54*taxRate/100,0),IF(roundDown,ROUNDDOWN(AA54*taxRate/100,0),ROUND(AA54*taxRate/100,0))),IF(inclusive,IF(roundUp,ROUNDUP(AA54/(100+taxRate)*taxRate,0),IF(roundDown,ROUNDDOWN(AA54/(100+taxRate)*taxRate,0),ROUND(AA54/(100+taxRate)*taxRate,0))),""))</f>
        <v>89860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988460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53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</mergeCells>
  <phoneticPr fontId="1"/>
  <dataValidations count="7">
    <dataValidation imeMode="off" allowBlank="1" showInputMessage="1" showErrorMessage="1" sqref="AU7 AU15 Q29:S53 W29:Z53" xr:uid="{F8F038DB-F6FC-4032-B310-16F63C2A0BAE}"/>
    <dataValidation imeMode="on" allowBlank="1" showInputMessage="1" showErrorMessage="1" sqref="B8:S12 Z9:AM13 C15:Y15 K21:AF23 K25:Y25 B29:P53 T29:V53 AG29:AM53 B58:AM60" xr:uid="{91A30E3D-8B11-4206-BAD1-D5B395453F08}"/>
    <dataValidation type="whole" imeMode="off" allowBlank="1" showInputMessage="1" showErrorMessage="1" sqref="BD19 AU13 AU19 AU23" xr:uid="{B7FC86B9-FD3C-4D08-BFCF-C3F8FBED9900}">
      <formula1>1</formula1>
      <formula2>31</formula2>
    </dataValidation>
    <dataValidation type="whole" imeMode="off" allowBlank="1" showInputMessage="1" showErrorMessage="1" sqref="BD18 AU12 AU18 AU22" xr:uid="{C4325214-784F-4968-ABA4-E7578D8853FC}">
      <formula1>1</formula1>
      <formula2>12</formula2>
    </dataValidation>
    <dataValidation type="whole" imeMode="off" allowBlank="1" showInputMessage="1" showErrorMessage="1" sqref="BD17 AU11 AU17 AU21" xr:uid="{88209B72-3475-4975-9CEB-EE340A3B74EC}">
      <formula1>1970</formula1>
      <formula2>2100</formula2>
    </dataValidation>
    <dataValidation type="list" allowBlank="1" showInputMessage="1" showErrorMessage="1" sqref="AU9" xr:uid="{6DE5EF47-B3CE-4F14-9F2A-A3C1CD181D86}">
      <formula1>$AV$9:$AX$9</formula1>
    </dataValidation>
    <dataValidation type="list" allowBlank="1" showInputMessage="1" showErrorMessage="1" sqref="AU6" xr:uid="{7E45033B-D78F-4F6D-9B2B-DB1609325344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71"/>
  <sheetViews>
    <sheetView showGridLines="0" topLeftCell="A25" zoomScaleNormal="100" zoomScaleSheetLayoutView="100" workbookViewId="0">
      <selection activeCell="AT50" sqref="AT50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45924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2025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9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24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1413280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28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2025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66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46022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67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152"/>
      <c r="R29" s="153"/>
      <c r="S29" s="154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68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203">
        <v>464</v>
      </c>
      <c r="R30" s="204"/>
      <c r="S30" s="205"/>
      <c r="T30" s="67" t="s">
        <v>57</v>
      </c>
      <c r="U30" s="68"/>
      <c r="V30" s="69"/>
      <c r="W30" s="70">
        <v>150</v>
      </c>
      <c r="X30" s="71"/>
      <c r="Y30" s="71"/>
      <c r="Z30" s="72"/>
      <c r="AA30" s="73">
        <f t="shared" si="0"/>
        <v>69600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88"/>
      <c r="R31" s="89"/>
      <c r="S31" s="90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69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70"/>
      <c r="R32" s="71"/>
      <c r="S32" s="72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79" t="s">
        <v>70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88">
        <v>356</v>
      </c>
      <c r="R33" s="89"/>
      <c r="S33" s="90"/>
      <c r="T33" s="85" t="s">
        <v>57</v>
      </c>
      <c r="U33" s="86"/>
      <c r="V33" s="87"/>
      <c r="W33" s="88">
        <v>300</v>
      </c>
      <c r="X33" s="89"/>
      <c r="Y33" s="89"/>
      <c r="Z33" s="90"/>
      <c r="AA33" s="91">
        <f t="shared" si="0"/>
        <v>106800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71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70">
        <v>356</v>
      </c>
      <c r="R34" s="71"/>
      <c r="S34" s="72"/>
      <c r="T34" s="67" t="s">
        <v>57</v>
      </c>
      <c r="U34" s="68"/>
      <c r="V34" s="69"/>
      <c r="W34" s="70">
        <v>1800</v>
      </c>
      <c r="X34" s="71"/>
      <c r="Y34" s="71"/>
      <c r="Z34" s="72"/>
      <c r="AA34" s="73">
        <f t="shared" si="0"/>
        <v>640800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88"/>
      <c r="R35" s="89"/>
      <c r="S35" s="90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72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70"/>
      <c r="R36" s="71"/>
      <c r="S36" s="72"/>
      <c r="T36" s="67"/>
      <c r="U36" s="68"/>
      <c r="V36" s="69"/>
      <c r="W36" s="70"/>
      <c r="X36" s="71"/>
      <c r="Y36" s="71"/>
      <c r="Z36" s="72"/>
      <c r="AA36" s="73">
        <f t="shared" si="0"/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73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8"/>
      <c r="R37" s="89"/>
      <c r="S37" s="90"/>
      <c r="T37" s="85"/>
      <c r="U37" s="86"/>
      <c r="V37" s="87"/>
      <c r="W37" s="88"/>
      <c r="X37" s="89"/>
      <c r="Y37" s="89"/>
      <c r="Z37" s="90"/>
      <c r="AA37" s="91">
        <f t="shared" si="0"/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 t="s">
        <v>74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70">
        <v>108</v>
      </c>
      <c r="R38" s="71"/>
      <c r="S38" s="72"/>
      <c r="T38" s="67" t="s">
        <v>57</v>
      </c>
      <c r="U38" s="68"/>
      <c r="V38" s="69"/>
      <c r="W38" s="70">
        <v>400</v>
      </c>
      <c r="X38" s="71"/>
      <c r="Y38" s="71"/>
      <c r="Z38" s="72"/>
      <c r="AA38" s="73">
        <f t="shared" si="0"/>
        <v>43200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79" t="s">
        <v>75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  <c r="Q39" s="88">
        <v>108</v>
      </c>
      <c r="R39" s="89"/>
      <c r="S39" s="90"/>
      <c r="T39" s="85" t="s">
        <v>57</v>
      </c>
      <c r="U39" s="86"/>
      <c r="V39" s="87"/>
      <c r="W39" s="88">
        <v>1800</v>
      </c>
      <c r="X39" s="89"/>
      <c r="Y39" s="89"/>
      <c r="Z39" s="90"/>
      <c r="AA39" s="91">
        <f t="shared" si="0"/>
        <v>194400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70"/>
      <c r="R40" s="71"/>
      <c r="S40" s="72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79" t="s">
        <v>76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Q41" s="88"/>
      <c r="R41" s="89"/>
      <c r="S41" s="90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 t="s">
        <v>77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70"/>
      <c r="R42" s="71"/>
      <c r="S42" s="72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 t="s">
        <v>78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88">
        <v>1</v>
      </c>
      <c r="R43" s="89"/>
      <c r="S43" s="90"/>
      <c r="T43" s="85" t="s">
        <v>46</v>
      </c>
      <c r="U43" s="86"/>
      <c r="V43" s="87"/>
      <c r="W43" s="88">
        <v>80000</v>
      </c>
      <c r="X43" s="89"/>
      <c r="Y43" s="89"/>
      <c r="Z43" s="90"/>
      <c r="AA43" s="91">
        <f t="shared" si="0"/>
        <v>80000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70"/>
      <c r="R44" s="71"/>
      <c r="S44" s="72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 t="s">
        <v>79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88"/>
      <c r="R45" s="89"/>
      <c r="S45" s="90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 t="s">
        <v>80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70">
        <v>1</v>
      </c>
      <c r="R46" s="71"/>
      <c r="S46" s="72"/>
      <c r="T46" s="67" t="s">
        <v>46</v>
      </c>
      <c r="U46" s="68"/>
      <c r="V46" s="69"/>
      <c r="W46" s="70">
        <v>150000</v>
      </c>
      <c r="X46" s="71"/>
      <c r="Y46" s="71"/>
      <c r="Z46" s="72"/>
      <c r="AA46" s="73">
        <f t="shared" si="0"/>
        <v>150000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88"/>
      <c r="R47" s="89"/>
      <c r="S47" s="90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70"/>
      <c r="R48" s="71"/>
      <c r="S48" s="72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88"/>
      <c r="R49" s="89"/>
      <c r="S49" s="90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70"/>
      <c r="R50" s="71"/>
      <c r="S50" s="72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88"/>
      <c r="R51" s="89"/>
      <c r="S51" s="90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70"/>
      <c r="R52" s="71"/>
      <c r="S52" s="72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52"/>
      <c r="R53" s="53"/>
      <c r="S53" s="54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1284800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f>IF(exclusive,IF(roundUp,ROUNDUP(AA54*taxRate/100,0),IF(roundDown,ROUNDDOWN(AA54*taxRate/100,0),ROUND(AA54*taxRate/100,0))),IF(inclusive,IF(roundUp,ROUNDUP(AA54/(100+taxRate)*taxRate,0),IF(roundDown,ROUNDDOWN(AA54/(100+taxRate)*taxRate,0),ROUND(AA54/(100+taxRate)*taxRate,0))),""))</f>
        <v>128480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1413280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53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AA55:AF55"/>
    <mergeCell ref="AT4:AU5"/>
    <mergeCell ref="T48:V48"/>
    <mergeCell ref="T47:V47"/>
    <mergeCell ref="T32:V32"/>
    <mergeCell ref="T31:V31"/>
    <mergeCell ref="T30:V30"/>
    <mergeCell ref="W48:Z48"/>
    <mergeCell ref="AA28:AF28"/>
    <mergeCell ref="W28:Z28"/>
    <mergeCell ref="T28:V28"/>
    <mergeCell ref="AG30:AM30"/>
    <mergeCell ref="AG29:AM29"/>
    <mergeCell ref="T35:V35"/>
    <mergeCell ref="W35:Z35"/>
    <mergeCell ref="AA48:AF48"/>
    <mergeCell ref="AA47:AF47"/>
    <mergeCell ref="AA32:AF32"/>
    <mergeCell ref="AA29:AF29"/>
    <mergeCell ref="AG28:AM28"/>
    <mergeCell ref="P2:Y4"/>
    <mergeCell ref="B53:P53"/>
    <mergeCell ref="B52:P52"/>
    <mergeCell ref="C15:Y15"/>
    <mergeCell ref="D21:I21"/>
    <mergeCell ref="D23:I23"/>
    <mergeCell ref="D22:I22"/>
    <mergeCell ref="D24:I24"/>
    <mergeCell ref="D26:I26"/>
    <mergeCell ref="D25:I25"/>
    <mergeCell ref="AH24:AJ26"/>
    <mergeCell ref="AK24:AM26"/>
    <mergeCell ref="Q29:S29"/>
    <mergeCell ref="T29:V29"/>
    <mergeCell ref="W29:Z29"/>
    <mergeCell ref="Q28:S28"/>
    <mergeCell ref="B29:P29"/>
    <mergeCell ref="B28:P28"/>
    <mergeCell ref="T52:V52"/>
    <mergeCell ref="W53:Z53"/>
    <mergeCell ref="W52:Z52"/>
    <mergeCell ref="W51:Z51"/>
    <mergeCell ref="W50:Z50"/>
    <mergeCell ref="W49:Z49"/>
    <mergeCell ref="C17:K19"/>
    <mergeCell ref="W32:Z32"/>
    <mergeCell ref="Q51:S51"/>
    <mergeCell ref="Q50:S50"/>
    <mergeCell ref="Q49:S49"/>
    <mergeCell ref="Q48:S48"/>
    <mergeCell ref="B30:P30"/>
    <mergeCell ref="B33:P33"/>
    <mergeCell ref="Q33:S33"/>
    <mergeCell ref="T33:V33"/>
    <mergeCell ref="W33:Z33"/>
    <mergeCell ref="T53:V53"/>
    <mergeCell ref="Q53:S53"/>
    <mergeCell ref="B51:P51"/>
    <mergeCell ref="B50:P50"/>
    <mergeCell ref="B49:P49"/>
    <mergeCell ref="B48:P48"/>
    <mergeCell ref="W47:Z47"/>
    <mergeCell ref="B5:L5"/>
    <mergeCell ref="B57:AM57"/>
    <mergeCell ref="AG53:AM53"/>
    <mergeCell ref="AG52:AM52"/>
    <mergeCell ref="AG51:AM51"/>
    <mergeCell ref="AG50:AM50"/>
    <mergeCell ref="AG49:AM49"/>
    <mergeCell ref="AG48:AM48"/>
    <mergeCell ref="AG47:AM47"/>
    <mergeCell ref="AG32:AM32"/>
    <mergeCell ref="AA56:AF56"/>
    <mergeCell ref="W56:Z56"/>
    <mergeCell ref="W55:Z55"/>
    <mergeCell ref="W54:Z54"/>
    <mergeCell ref="AA53:AF53"/>
    <mergeCell ref="AA52:AF52"/>
    <mergeCell ref="AA51:AF51"/>
    <mergeCell ref="AA50:AF50"/>
    <mergeCell ref="AA49:AF49"/>
    <mergeCell ref="AA54:AF54"/>
    <mergeCell ref="T51:V51"/>
    <mergeCell ref="T50:V50"/>
    <mergeCell ref="T49:V49"/>
    <mergeCell ref="Q52:S52"/>
    <mergeCell ref="AG35:AM35"/>
    <mergeCell ref="AG43:AM43"/>
    <mergeCell ref="Q44:S44"/>
    <mergeCell ref="T44:V44"/>
    <mergeCell ref="W44:Z44"/>
    <mergeCell ref="AA44:AF44"/>
    <mergeCell ref="AG44:AM44"/>
    <mergeCell ref="B39:P39"/>
    <mergeCell ref="Q39:S39"/>
    <mergeCell ref="T39:V39"/>
    <mergeCell ref="AG41:AM41"/>
    <mergeCell ref="B35:P35"/>
    <mergeCell ref="Q35:S35"/>
    <mergeCell ref="AG37:AM37"/>
    <mergeCell ref="AG40:AM40"/>
    <mergeCell ref="B41:P41"/>
    <mergeCell ref="Q41:S41"/>
    <mergeCell ref="T41:V41"/>
    <mergeCell ref="W39:Z39"/>
    <mergeCell ref="AA39:AF39"/>
    <mergeCell ref="AG39:AM39"/>
    <mergeCell ref="Q47:S47"/>
    <mergeCell ref="B45:P45"/>
    <mergeCell ref="Q45:S45"/>
    <mergeCell ref="T45:V45"/>
    <mergeCell ref="W45:Z45"/>
    <mergeCell ref="AA45:AF45"/>
    <mergeCell ref="T42:V42"/>
    <mergeCell ref="W42:Z42"/>
    <mergeCell ref="AA42:AF42"/>
    <mergeCell ref="B47:P47"/>
    <mergeCell ref="AA30:AF30"/>
    <mergeCell ref="B43:P43"/>
    <mergeCell ref="Q43:S43"/>
    <mergeCell ref="T43:V43"/>
    <mergeCell ref="W43:Z43"/>
    <mergeCell ref="AA43:AF43"/>
    <mergeCell ref="B44:P44"/>
    <mergeCell ref="B34:P34"/>
    <mergeCell ref="Q34:S34"/>
    <mergeCell ref="W41:Z41"/>
    <mergeCell ref="AA41:AF41"/>
    <mergeCell ref="B42:P42"/>
    <mergeCell ref="Q42:S42"/>
    <mergeCell ref="Q40:S40"/>
    <mergeCell ref="B40:P40"/>
    <mergeCell ref="AA35:AF35"/>
    <mergeCell ref="W31:Z31"/>
    <mergeCell ref="W30:Z30"/>
    <mergeCell ref="Q30:S30"/>
    <mergeCell ref="AA37:AF37"/>
    <mergeCell ref="W37:Z37"/>
    <mergeCell ref="T37:V37"/>
    <mergeCell ref="Q37:S37"/>
    <mergeCell ref="B37:P37"/>
    <mergeCell ref="B32:P32"/>
    <mergeCell ref="B31:P31"/>
    <mergeCell ref="AG33:AM33"/>
    <mergeCell ref="T34:V34"/>
    <mergeCell ref="W34:Z34"/>
    <mergeCell ref="AA34:AF34"/>
    <mergeCell ref="AG34:AM34"/>
    <mergeCell ref="AG31:AM31"/>
    <mergeCell ref="Q32:S32"/>
    <mergeCell ref="Q31:S31"/>
    <mergeCell ref="AA33:AF33"/>
    <mergeCell ref="AA31:AF31"/>
    <mergeCell ref="AG45:AM45"/>
    <mergeCell ref="T40:V40"/>
    <mergeCell ref="W40:Z40"/>
    <mergeCell ref="AA40:AF40"/>
    <mergeCell ref="B46:P46"/>
    <mergeCell ref="Q46:S46"/>
    <mergeCell ref="T46:V46"/>
    <mergeCell ref="W46:Z46"/>
    <mergeCell ref="AA46:AF46"/>
    <mergeCell ref="AG46:AM46"/>
    <mergeCell ref="AG42:AM42"/>
    <mergeCell ref="B58:AM60"/>
    <mergeCell ref="K23:AF23"/>
    <mergeCell ref="K22:AF22"/>
    <mergeCell ref="K21:AF21"/>
    <mergeCell ref="AC5:AM5"/>
    <mergeCell ref="K25:Y25"/>
    <mergeCell ref="K26:Y26"/>
    <mergeCell ref="K24:Q24"/>
    <mergeCell ref="S24:Y24"/>
    <mergeCell ref="L17:Y19"/>
    <mergeCell ref="B8:S12"/>
    <mergeCell ref="Z9:AM13"/>
    <mergeCell ref="AG36:AM36"/>
    <mergeCell ref="AA36:AF36"/>
    <mergeCell ref="W36:Z36"/>
    <mergeCell ref="T36:V36"/>
    <mergeCell ref="Q36:S36"/>
    <mergeCell ref="B36:P36"/>
    <mergeCell ref="AG38:AM38"/>
    <mergeCell ref="AA38:AF38"/>
    <mergeCell ref="W38:Z38"/>
    <mergeCell ref="T38:V38"/>
    <mergeCell ref="Q38:S38"/>
    <mergeCell ref="B38:P38"/>
  </mergeCells>
  <phoneticPr fontId="1"/>
  <dataValidations count="7">
    <dataValidation type="list" allowBlank="1" showInputMessage="1" showErrorMessage="1" sqref="AU6" xr:uid="{00000000-0002-0000-0000-000000000000}">
      <formula1>$AV$6:$AX$6</formula1>
    </dataValidation>
    <dataValidation type="list" allowBlank="1" showInputMessage="1" showErrorMessage="1" sqref="AU9" xr:uid="{00000000-0002-0000-0000-000001000000}">
      <formula1>$AV$9:$AX$9</formula1>
    </dataValidation>
    <dataValidation type="whole" imeMode="off" allowBlank="1" showInputMessage="1" showErrorMessage="1" sqref="BD17 AU11 AU17 AU21" xr:uid="{00000000-0002-0000-0000-000002000000}">
      <formula1>1970</formula1>
      <formula2>2100</formula2>
    </dataValidation>
    <dataValidation type="whole" imeMode="off" allowBlank="1" showInputMessage="1" showErrorMessage="1" sqref="BD18 AU12 AU18 AU22" xr:uid="{00000000-0002-0000-0000-000003000000}">
      <formula1>1</formula1>
      <formula2>12</formula2>
    </dataValidation>
    <dataValidation type="whole" imeMode="off" allowBlank="1" showInputMessage="1" showErrorMessage="1" sqref="BD19 AU13 AU19 AU23" xr:uid="{00000000-0002-0000-0000-000004000000}">
      <formula1>1</formula1>
      <formula2>31</formula2>
    </dataValidation>
    <dataValidation imeMode="on" allowBlank="1" showInputMessage="1" showErrorMessage="1" sqref="B8:S12 Z9:AM13 C15:Y15 K21:AF23 K25:Y25 B29:P53 T29:V53 AG29:AM53 B58:AM60" xr:uid="{00000000-0002-0000-0000-000005000000}"/>
    <dataValidation imeMode="off" allowBlank="1" showInputMessage="1" showErrorMessage="1" sqref="AU7 AU15 Q29:S53 W29:Z53" xr:uid="{00000000-0002-0000-0000-000006000000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7232-24C1-4989-BB6F-97CE41936548}">
  <dimension ref="B2:BE71"/>
  <sheetViews>
    <sheetView showGridLines="0" topLeftCell="A10" zoomScaleNormal="100" zoomScaleSheetLayoutView="100" workbookViewId="0">
      <selection activeCell="AR40" sqref="AR40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45924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2025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9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24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242550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28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2025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31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46022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81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00"/>
      <c r="R29" s="201"/>
      <c r="S29" s="202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82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179"/>
      <c r="R30" s="180"/>
      <c r="S30" s="181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79" t="s">
        <v>72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182"/>
      <c r="R31" s="183"/>
      <c r="S31" s="1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83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179">
        <v>105</v>
      </c>
      <c r="R32" s="180"/>
      <c r="S32" s="181"/>
      <c r="T32" s="67" t="s">
        <v>57</v>
      </c>
      <c r="U32" s="68"/>
      <c r="V32" s="69"/>
      <c r="W32" s="70">
        <v>300</v>
      </c>
      <c r="X32" s="71"/>
      <c r="Y32" s="71"/>
      <c r="Z32" s="72"/>
      <c r="AA32" s="73">
        <f t="shared" si="0"/>
        <v>31500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79" t="s">
        <v>84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182">
        <v>105</v>
      </c>
      <c r="R33" s="183"/>
      <c r="S33" s="184"/>
      <c r="T33" s="85" t="s">
        <v>57</v>
      </c>
      <c r="U33" s="86"/>
      <c r="V33" s="87"/>
      <c r="W33" s="88">
        <v>1800</v>
      </c>
      <c r="X33" s="89"/>
      <c r="Y33" s="89"/>
      <c r="Z33" s="90"/>
      <c r="AA33" s="91">
        <f t="shared" si="0"/>
        <v>189000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179"/>
      <c r="R34" s="180"/>
      <c r="S34" s="181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182"/>
      <c r="R35" s="183"/>
      <c r="S35" s="1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179"/>
      <c r="R36" s="180"/>
      <c r="S36" s="181"/>
      <c r="T36" s="67"/>
      <c r="U36" s="68"/>
      <c r="V36" s="69"/>
      <c r="W36" s="70"/>
      <c r="X36" s="71"/>
      <c r="Y36" s="71"/>
      <c r="Z36" s="72"/>
      <c r="AA36" s="73">
        <f t="shared" si="0"/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182"/>
      <c r="R37" s="183"/>
      <c r="S37" s="184"/>
      <c r="T37" s="85"/>
      <c r="U37" s="86"/>
      <c r="V37" s="87"/>
      <c r="W37" s="88"/>
      <c r="X37" s="89"/>
      <c r="Y37" s="89"/>
      <c r="Z37" s="90"/>
      <c r="AA37" s="91">
        <f t="shared" si="0"/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179"/>
      <c r="R38" s="180"/>
      <c r="S38" s="181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  <c r="Q39" s="182"/>
      <c r="R39" s="183"/>
      <c r="S39" s="184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179"/>
      <c r="R40" s="180"/>
      <c r="S40" s="181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Q41" s="182"/>
      <c r="R41" s="183"/>
      <c r="S41" s="184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179"/>
      <c r="R42" s="180"/>
      <c r="S42" s="181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182"/>
      <c r="R43" s="183"/>
      <c r="S43" s="1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179"/>
      <c r="R44" s="180"/>
      <c r="S44" s="181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182"/>
      <c r="R45" s="183"/>
      <c r="S45" s="1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179"/>
      <c r="R46" s="180"/>
      <c r="S46" s="181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182"/>
      <c r="R47" s="183"/>
      <c r="S47" s="1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179"/>
      <c r="R48" s="180"/>
      <c r="S48" s="181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182"/>
      <c r="R49" s="183"/>
      <c r="S49" s="1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179"/>
      <c r="R50" s="180"/>
      <c r="S50" s="181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182"/>
      <c r="R51" s="183"/>
      <c r="S51" s="1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179"/>
      <c r="R52" s="180"/>
      <c r="S52" s="181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176"/>
      <c r="R53" s="177"/>
      <c r="S53" s="17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220500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f>IF(exclusive,IF(roundUp,ROUNDUP(AA54*taxRate/100,0),IF(roundDown,ROUNDDOWN(AA54*taxRate/100,0),ROUND(AA54*taxRate/100,0))),IF(inclusive,IF(roundUp,ROUNDUP(AA54/(100+taxRate)*taxRate,0),IF(roundDown,ROUNDDOWN(AA54/(100+taxRate)*taxRate,0),ROUND(AA54/(100+taxRate)*taxRate,0))),""))</f>
        <v>22050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242550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53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</mergeCells>
  <phoneticPr fontId="1"/>
  <dataValidations count="7">
    <dataValidation type="list" allowBlank="1" showInputMessage="1" showErrorMessage="1" sqref="AU6" xr:uid="{EAD6626A-F2B7-4F10-8140-DF4405DDA231}">
      <formula1>$AV$6:$AX$6</formula1>
    </dataValidation>
    <dataValidation type="list" allowBlank="1" showInputMessage="1" showErrorMessage="1" sqref="AU9" xr:uid="{C5E27AF0-318D-44C0-ABC4-036D5D803371}">
      <formula1>$AV$9:$AX$9</formula1>
    </dataValidation>
    <dataValidation type="whole" imeMode="off" allowBlank="1" showInputMessage="1" showErrorMessage="1" sqref="BD17 AU11 AU17 AU21" xr:uid="{0D3B658A-2703-49DE-AD71-F8E66EC1A540}">
      <formula1>1970</formula1>
      <formula2>2100</formula2>
    </dataValidation>
    <dataValidation type="whole" imeMode="off" allowBlank="1" showInputMessage="1" showErrorMessage="1" sqref="BD18 AU12 AU18 AU22" xr:uid="{456946DB-A4E4-4A71-B6BC-7953A4002A86}">
      <formula1>1</formula1>
      <formula2>12</formula2>
    </dataValidation>
    <dataValidation type="whole" imeMode="off" allowBlank="1" showInputMessage="1" showErrorMessage="1" sqref="BD19 AU13 AU19 AU23" xr:uid="{367F5061-B35F-4C08-99DF-87EE6B75C6A4}">
      <formula1>1</formula1>
      <formula2>31</formula2>
    </dataValidation>
    <dataValidation imeMode="on" allowBlank="1" showInputMessage="1" showErrorMessage="1" sqref="B8:S12 Z9:AM13 C15:Y15 K21:AF23 K25:Y25 B29:P53 T29:V53 AG29:AM53 B58:AM60" xr:uid="{DE87208A-A946-45C8-BB0E-3624D0928017}"/>
    <dataValidation imeMode="off" allowBlank="1" showInputMessage="1" showErrorMessage="1" sqref="AU7 AU15 Q29:S53 W29:Z53" xr:uid="{1B27CAD9-EE03-4AB4-BA45-CA5CB7B5D81E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A551-B0E6-44DE-8169-F8AAB5808496}">
  <dimension ref="B2:BE71"/>
  <sheetViews>
    <sheetView showGridLines="0" topLeftCell="A13" zoomScaleNormal="100" zoomScaleSheetLayoutView="100" workbookViewId="0">
      <selection activeCell="AT61" sqref="AT61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45924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2025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9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24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2308944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28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2025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31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46022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81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00"/>
      <c r="R29" s="201"/>
      <c r="S29" s="202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85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179"/>
      <c r="R30" s="180"/>
      <c r="S30" s="181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79" t="s">
        <v>86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182">
        <v>351</v>
      </c>
      <c r="R31" s="183"/>
      <c r="S31" s="184"/>
      <c r="T31" s="85" t="s">
        <v>57</v>
      </c>
      <c r="U31" s="86"/>
      <c r="V31" s="87"/>
      <c r="W31" s="88">
        <v>150</v>
      </c>
      <c r="X31" s="89"/>
      <c r="Y31" s="89"/>
      <c r="Z31" s="90"/>
      <c r="AA31" s="91">
        <f t="shared" si="0"/>
        <v>52650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87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179"/>
      <c r="R32" s="180"/>
      <c r="S32" s="181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79" t="s">
        <v>88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182">
        <v>137</v>
      </c>
      <c r="R33" s="183"/>
      <c r="S33" s="184"/>
      <c r="T33" s="85" t="s">
        <v>57</v>
      </c>
      <c r="U33" s="86"/>
      <c r="V33" s="87"/>
      <c r="W33" s="88">
        <v>300</v>
      </c>
      <c r="X33" s="89"/>
      <c r="Y33" s="89"/>
      <c r="Z33" s="90"/>
      <c r="AA33" s="91">
        <f t="shared" si="0"/>
        <v>41100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89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179">
        <v>137</v>
      </c>
      <c r="R34" s="180"/>
      <c r="S34" s="181"/>
      <c r="T34" s="67" t="s">
        <v>57</v>
      </c>
      <c r="U34" s="68"/>
      <c r="V34" s="69"/>
      <c r="W34" s="70">
        <v>1800</v>
      </c>
      <c r="X34" s="71"/>
      <c r="Y34" s="71"/>
      <c r="Z34" s="72"/>
      <c r="AA34" s="73">
        <f t="shared" si="0"/>
        <v>246600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79" t="s">
        <v>90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182"/>
      <c r="R35" s="183"/>
      <c r="S35" s="1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91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179">
        <v>163</v>
      </c>
      <c r="R36" s="180"/>
      <c r="S36" s="181"/>
      <c r="T36" s="67" t="s">
        <v>57</v>
      </c>
      <c r="U36" s="68"/>
      <c r="V36" s="69"/>
      <c r="W36" s="70">
        <v>500</v>
      </c>
      <c r="X36" s="71"/>
      <c r="Y36" s="71"/>
      <c r="Z36" s="72"/>
      <c r="AA36" s="73">
        <f t="shared" si="0"/>
        <v>81500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92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182">
        <v>163</v>
      </c>
      <c r="R37" s="183"/>
      <c r="S37" s="184"/>
      <c r="T37" s="85" t="s">
        <v>57</v>
      </c>
      <c r="U37" s="86"/>
      <c r="V37" s="87"/>
      <c r="W37" s="88">
        <v>2000</v>
      </c>
      <c r="X37" s="89"/>
      <c r="Y37" s="89"/>
      <c r="Z37" s="90"/>
      <c r="AA37" s="91">
        <f t="shared" si="0"/>
        <v>326000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179"/>
      <c r="R38" s="180"/>
      <c r="S38" s="181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79" t="s">
        <v>93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1"/>
      <c r="Q39" s="182"/>
      <c r="R39" s="183"/>
      <c r="S39" s="184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 t="s">
        <v>77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179">
        <v>214.4</v>
      </c>
      <c r="R40" s="180"/>
      <c r="S40" s="181"/>
      <c r="T40" s="67" t="s">
        <v>57</v>
      </c>
      <c r="U40" s="68"/>
      <c r="V40" s="69"/>
      <c r="W40" s="70">
        <v>300</v>
      </c>
      <c r="X40" s="71"/>
      <c r="Y40" s="71"/>
      <c r="Z40" s="72"/>
      <c r="AA40" s="73">
        <f t="shared" si="0"/>
        <v>64320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79" t="s">
        <v>94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Q41" s="182">
        <v>214.4</v>
      </c>
      <c r="R41" s="183"/>
      <c r="S41" s="184"/>
      <c r="T41" s="85" t="s">
        <v>57</v>
      </c>
      <c r="U41" s="86"/>
      <c r="V41" s="87"/>
      <c r="W41" s="88">
        <v>2000</v>
      </c>
      <c r="X41" s="89"/>
      <c r="Y41" s="89"/>
      <c r="Z41" s="90"/>
      <c r="AA41" s="91">
        <f t="shared" si="0"/>
        <v>428800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179"/>
      <c r="R42" s="180"/>
      <c r="S42" s="181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 t="s">
        <v>95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182"/>
      <c r="R43" s="183"/>
      <c r="S43" s="1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 t="s">
        <v>96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179">
        <v>235.6</v>
      </c>
      <c r="R44" s="180"/>
      <c r="S44" s="181"/>
      <c r="T44" s="67" t="s">
        <v>57</v>
      </c>
      <c r="U44" s="68"/>
      <c r="V44" s="69"/>
      <c r="W44" s="70">
        <v>400</v>
      </c>
      <c r="X44" s="71"/>
      <c r="Y44" s="71"/>
      <c r="Z44" s="72"/>
      <c r="AA44" s="73">
        <f t="shared" si="0"/>
        <v>94240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 t="s">
        <v>97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182">
        <v>235.6</v>
      </c>
      <c r="R45" s="183"/>
      <c r="S45" s="184"/>
      <c r="T45" s="85" t="s">
        <v>57</v>
      </c>
      <c r="U45" s="86"/>
      <c r="V45" s="87"/>
      <c r="W45" s="88">
        <v>1800</v>
      </c>
      <c r="X45" s="89"/>
      <c r="Y45" s="89"/>
      <c r="Z45" s="90"/>
      <c r="AA45" s="91">
        <f t="shared" si="0"/>
        <v>424080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179"/>
      <c r="R46" s="180"/>
      <c r="S46" s="181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 t="s">
        <v>98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182"/>
      <c r="R47" s="183"/>
      <c r="S47" s="1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 t="s">
        <v>86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179">
        <v>249</v>
      </c>
      <c r="R48" s="180"/>
      <c r="S48" s="181"/>
      <c r="T48" s="67" t="s">
        <v>57</v>
      </c>
      <c r="U48" s="68"/>
      <c r="V48" s="69"/>
      <c r="W48" s="70">
        <v>150</v>
      </c>
      <c r="X48" s="71"/>
      <c r="Y48" s="71"/>
      <c r="Z48" s="72"/>
      <c r="AA48" s="73">
        <f t="shared" si="0"/>
        <v>37350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 t="s">
        <v>87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182"/>
      <c r="R49" s="183"/>
      <c r="S49" s="1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 t="s">
        <v>88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179">
        <v>144</v>
      </c>
      <c r="R50" s="180"/>
      <c r="S50" s="181"/>
      <c r="T50" s="67" t="s">
        <v>57</v>
      </c>
      <c r="U50" s="68"/>
      <c r="V50" s="69"/>
      <c r="W50" s="70">
        <v>300</v>
      </c>
      <c r="X50" s="71"/>
      <c r="Y50" s="71"/>
      <c r="Z50" s="72"/>
      <c r="AA50" s="73">
        <f t="shared" si="0"/>
        <v>43200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 t="s">
        <v>89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182">
        <v>144</v>
      </c>
      <c r="R51" s="183"/>
      <c r="S51" s="184"/>
      <c r="T51" s="85" t="s">
        <v>57</v>
      </c>
      <c r="U51" s="86"/>
      <c r="V51" s="87"/>
      <c r="W51" s="88">
        <v>1800</v>
      </c>
      <c r="X51" s="89"/>
      <c r="Y51" s="89"/>
      <c r="Z51" s="90"/>
      <c r="AA51" s="91">
        <f t="shared" si="0"/>
        <v>259200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179"/>
      <c r="R52" s="180"/>
      <c r="S52" s="181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176"/>
      <c r="R53" s="177"/>
      <c r="S53" s="17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2099040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f>IF(exclusive,IF(roundUp,ROUNDUP(AA54*taxRate/100,0),IF(roundDown,ROUNDDOWN(AA54*taxRate/100,0),ROUND(AA54*taxRate/100,0))),IF(inclusive,IF(roundUp,ROUNDUP(AA54/(100+taxRate)*taxRate,0),IF(roundDown,ROUNDDOWN(AA54/(100+taxRate)*taxRate,0),ROUND(AA54/(100+taxRate)*taxRate,0))),""))</f>
        <v>209904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2308944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53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</mergeCells>
  <phoneticPr fontId="1"/>
  <dataValidations count="7">
    <dataValidation imeMode="off" allowBlank="1" showInputMessage="1" showErrorMessage="1" sqref="AU7 AU15 Q29:S53 W29:Z53" xr:uid="{0BFBC562-CF02-4B79-BB50-FD88339B7A72}"/>
    <dataValidation imeMode="on" allowBlank="1" showInputMessage="1" showErrorMessage="1" sqref="B8:S12 Z9:AM13 C15:Y15 K21:AF23 K25:Y25 B29:P53 T29:V53 AG29:AM53 B58:AM60" xr:uid="{923FFD0F-110D-4201-984F-392AF92988E4}"/>
    <dataValidation type="whole" imeMode="off" allowBlank="1" showInputMessage="1" showErrorMessage="1" sqref="BD19 AU13 AU19 AU23" xr:uid="{ACA44790-A9FC-4BB3-BF4E-FEC4A4D64C17}">
      <formula1>1</formula1>
      <formula2>31</formula2>
    </dataValidation>
    <dataValidation type="whole" imeMode="off" allowBlank="1" showInputMessage="1" showErrorMessage="1" sqref="BD18 AU12 AU18 AU22" xr:uid="{D7B90CFF-094A-45B6-80FF-FCFBECB25596}">
      <formula1>1</formula1>
      <formula2>12</formula2>
    </dataValidation>
    <dataValidation type="whole" imeMode="off" allowBlank="1" showInputMessage="1" showErrorMessage="1" sqref="BD17 AU11 AU17 AU21" xr:uid="{72AE221E-0637-4D19-886B-0AA3A6DAFDB6}">
      <formula1>1970</formula1>
      <formula2>2100</formula2>
    </dataValidation>
    <dataValidation type="list" allowBlank="1" showInputMessage="1" showErrorMessage="1" sqref="AU9" xr:uid="{24AEC853-3DEE-4527-830F-BB06D3EDC7F2}">
      <formula1>$AV$9:$AX$9</formula1>
    </dataValidation>
    <dataValidation type="list" allowBlank="1" showInputMessage="1" showErrorMessage="1" sqref="AU6" xr:uid="{F867233C-E177-4963-B072-04803E5C6A7D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36EB-8C63-4805-9B5D-B11DEBA0A806}">
  <dimension ref="A1"/>
  <sheetViews>
    <sheetView workbookViewId="0"/>
  </sheetViews>
  <sheetFormatPr defaultRowHeight="13.1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9E23-BF70-4AD1-9AEC-C288D4A0B4C4}">
  <dimension ref="B2:BE71"/>
  <sheetViews>
    <sheetView showGridLines="0" topLeftCell="A16" zoomScaleNormal="100" zoomScaleSheetLayoutView="100" workbookViewId="0">
      <selection activeCell="AA56" sqref="AA56:AF56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46199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99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6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26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20" t="s">
        <v>18</v>
      </c>
      <c r="D17" s="121"/>
      <c r="E17" s="121"/>
      <c r="F17" s="121"/>
      <c r="G17" s="121"/>
      <c r="H17" s="121"/>
      <c r="I17" s="121"/>
      <c r="J17" s="121"/>
      <c r="K17" s="122"/>
      <c r="L17" s="129">
        <f>IF(exclusive,AA54+IF(roundUp,ROUNDUP(AA54*AU7/100,0),IF(roundDown,ROUNDDOWN(AA54*AU7/100,0),ROUND(AA54*AU7/100,0))),AA54)</f>
        <v>1548965</v>
      </c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1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23"/>
      <c r="D18" s="124"/>
      <c r="E18" s="124"/>
      <c r="F18" s="124"/>
      <c r="G18" s="124"/>
      <c r="H18" s="124"/>
      <c r="I18" s="124"/>
      <c r="J18" s="124"/>
      <c r="K18" s="125"/>
      <c r="L18" s="132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4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26"/>
      <c r="D19" s="127"/>
      <c r="E19" s="127"/>
      <c r="F19" s="127"/>
      <c r="G19" s="127"/>
      <c r="H19" s="127"/>
      <c r="I19" s="127"/>
      <c r="J19" s="127"/>
      <c r="K19" s="128"/>
      <c r="L19" s="135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7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100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08" t="str">
        <f>IF(AND(nohinYear&lt;&gt;"",nohinMonth&lt;&gt;"",nohinDay&lt;&gt;""),DATE(nohinYear,nohinMonth,nohinDay),"")</f>
        <v/>
      </c>
      <c r="L24" s="108"/>
      <c r="M24" s="108"/>
      <c r="N24" s="108"/>
      <c r="O24" s="108"/>
      <c r="P24" s="108"/>
      <c r="Q24" s="108"/>
      <c r="R24" s="27" t="s">
        <v>36</v>
      </c>
      <c r="S24" s="109" t="str">
        <f>IF(AND(nohinYear2&lt;&gt;"",nohinMonth2&lt;&gt;"",nohinDay2&lt;&gt;""),DATE(nohinYear2,nohinMonth2,nohinDay2),"")</f>
        <v/>
      </c>
      <c r="T24" s="109"/>
      <c r="U24" s="109"/>
      <c r="V24" s="109"/>
      <c r="W24" s="109"/>
      <c r="X24" s="109"/>
      <c r="Y24" s="109"/>
      <c r="AH24" s="110"/>
      <c r="AI24" s="111"/>
      <c r="AJ24" s="112"/>
      <c r="AK24" s="110"/>
      <c r="AL24" s="111"/>
      <c r="AM24" s="112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13"/>
      <c r="AI25" s="114"/>
      <c r="AJ25" s="115"/>
      <c r="AK25" s="113"/>
      <c r="AL25" s="114"/>
      <c r="AM25" s="115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16"/>
      <c r="AI26" s="117"/>
      <c r="AJ26" s="118"/>
      <c r="AK26" s="116"/>
      <c r="AL26" s="117"/>
      <c r="AM26" s="118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37" t="s">
        <v>40</v>
      </c>
      <c r="R28" s="38"/>
      <c r="S28" s="39"/>
      <c r="T28" s="37" t="s">
        <v>41</v>
      </c>
      <c r="U28" s="38"/>
      <c r="V28" s="39"/>
      <c r="W28" s="37" t="str">
        <f>IF(inclusive,"単価(税込)",IF(exclusive,"単価(税抜)","単価"))</f>
        <v>単価(税抜)</v>
      </c>
      <c r="X28" s="38"/>
      <c r="Y28" s="38"/>
      <c r="Z28" s="39"/>
      <c r="AA28" s="37" t="str">
        <f>IF(inclusive,"金額(税込)",IF(exclusive,"金額(税抜)","金額"))</f>
        <v>金額(税抜)</v>
      </c>
      <c r="AB28" s="38"/>
      <c r="AC28" s="38"/>
      <c r="AD28" s="38"/>
      <c r="AE28" s="38"/>
      <c r="AF28" s="39"/>
      <c r="AG28" s="140" t="s">
        <v>42</v>
      </c>
      <c r="AH28" s="141"/>
      <c r="AI28" s="141"/>
      <c r="AJ28" s="141"/>
      <c r="AK28" s="141"/>
      <c r="AL28" s="141"/>
      <c r="AM28" s="142"/>
      <c r="AT28" s="1"/>
      <c r="AU28" s="1"/>
    </row>
    <row r="29" spans="2:57" ht="12.75" customHeight="1">
      <c r="B29" s="143" t="s">
        <v>101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146">
        <v>265</v>
      </c>
      <c r="R29" s="147"/>
      <c r="S29" s="148"/>
      <c r="T29" s="149" t="s">
        <v>57</v>
      </c>
      <c r="U29" s="150"/>
      <c r="V29" s="151"/>
      <c r="W29" s="152">
        <v>150</v>
      </c>
      <c r="X29" s="153"/>
      <c r="Y29" s="153"/>
      <c r="Z29" s="154"/>
      <c r="AA29" s="155">
        <f t="shared" ref="AA29:AA53" si="0">IF(roundUp,ROUNDUP(Q29*W29,0),IF(roundDown,ROUNDDOWN(Q29*W29,0),ROUND(Q29*W29,0)))</f>
        <v>39750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64"/>
      <c r="R30" s="65"/>
      <c r="S30" s="66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 t="s">
        <v>102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82"/>
      <c r="R31" s="83"/>
      <c r="S31" s="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103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64">
        <v>71</v>
      </c>
      <c r="R32" s="65"/>
      <c r="S32" s="66"/>
      <c r="T32" s="67" t="s">
        <v>57</v>
      </c>
      <c r="U32" s="68"/>
      <c r="V32" s="69"/>
      <c r="W32" s="70">
        <v>6000</v>
      </c>
      <c r="X32" s="71"/>
      <c r="Y32" s="71"/>
      <c r="Z32" s="72"/>
      <c r="AA32" s="73">
        <f t="shared" si="0"/>
        <v>426000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 t="s">
        <v>104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82"/>
      <c r="R33" s="83"/>
      <c r="S33" s="84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105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64"/>
      <c r="R34" s="65"/>
      <c r="S34" s="66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 t="s">
        <v>106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82">
        <v>194</v>
      </c>
      <c r="R35" s="83"/>
      <c r="S35" s="84"/>
      <c r="T35" s="85" t="s">
        <v>57</v>
      </c>
      <c r="U35" s="86"/>
      <c r="V35" s="87"/>
      <c r="W35" s="88">
        <v>4200</v>
      </c>
      <c r="X35" s="89"/>
      <c r="Y35" s="89"/>
      <c r="Z35" s="90"/>
      <c r="AA35" s="91">
        <f t="shared" si="0"/>
        <v>814800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107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64"/>
      <c r="R36" s="65"/>
      <c r="S36" s="66"/>
      <c r="T36" s="67"/>
      <c r="U36" s="68"/>
      <c r="V36" s="69"/>
      <c r="W36" s="70"/>
      <c r="X36" s="71"/>
      <c r="Y36" s="71"/>
      <c r="Z36" s="72"/>
      <c r="AA36" s="73">
        <f>IF(roundUp,ROUNDUP(Q36*W36,0),IF(roundDown,ROUNDDOWN(Q36*W36,0),ROUND(Q36*W36,0)))</f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105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2">
        <v>24</v>
      </c>
      <c r="R37" s="83"/>
      <c r="S37" s="84"/>
      <c r="T37" s="85" t="s">
        <v>108</v>
      </c>
      <c r="U37" s="86"/>
      <c r="V37" s="87"/>
      <c r="W37" s="88">
        <v>500</v>
      </c>
      <c r="X37" s="89"/>
      <c r="Y37" s="89"/>
      <c r="Z37" s="90"/>
      <c r="AA37" s="91">
        <f>IF(roundUp,ROUNDUP(Q37*W37,0),IF(roundDown,ROUNDDOWN(Q37*W37,0),ROUND(Q37*W37,0)))</f>
        <v>12000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 t="s">
        <v>109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64"/>
      <c r="R38" s="65"/>
      <c r="S38" s="66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 t="s">
        <v>105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82">
        <v>46</v>
      </c>
      <c r="R39" s="83"/>
      <c r="S39" s="84"/>
      <c r="T39" s="85" t="s">
        <v>108</v>
      </c>
      <c r="U39" s="86"/>
      <c r="V39" s="87"/>
      <c r="W39" s="88">
        <v>800</v>
      </c>
      <c r="X39" s="89"/>
      <c r="Y39" s="89"/>
      <c r="Z39" s="90"/>
      <c r="AA39" s="91">
        <f t="shared" si="0"/>
        <v>36800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 t="s">
        <v>110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64"/>
      <c r="R40" s="65"/>
      <c r="S40" s="66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 t="s">
        <v>111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82">
        <v>14.5</v>
      </c>
      <c r="R41" s="83"/>
      <c r="S41" s="84"/>
      <c r="T41" s="85" t="s">
        <v>57</v>
      </c>
      <c r="U41" s="86"/>
      <c r="V41" s="87"/>
      <c r="W41" s="88">
        <v>2000</v>
      </c>
      <c r="X41" s="89"/>
      <c r="Y41" s="89"/>
      <c r="Z41" s="90"/>
      <c r="AA41" s="91">
        <f t="shared" si="0"/>
        <v>29000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 t="s">
        <v>112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64"/>
      <c r="R42" s="65"/>
      <c r="S42" s="66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 t="s">
        <v>113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82">
        <v>9.9</v>
      </c>
      <c r="R43" s="83"/>
      <c r="S43" s="84"/>
      <c r="T43" s="85" t="s">
        <v>57</v>
      </c>
      <c r="U43" s="86"/>
      <c r="V43" s="87"/>
      <c r="W43" s="88">
        <v>2000</v>
      </c>
      <c r="X43" s="89"/>
      <c r="Y43" s="89"/>
      <c r="Z43" s="90"/>
      <c r="AA43" s="91">
        <f t="shared" si="0"/>
        <v>19800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4"/>
      <c r="R44" s="65"/>
      <c r="S44" s="66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 t="s">
        <v>114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82">
        <v>1</v>
      </c>
      <c r="R45" s="83"/>
      <c r="S45" s="84"/>
      <c r="T45" s="85" t="s">
        <v>46</v>
      </c>
      <c r="U45" s="86"/>
      <c r="V45" s="87"/>
      <c r="W45" s="88">
        <v>30000</v>
      </c>
      <c r="X45" s="89"/>
      <c r="Y45" s="89"/>
      <c r="Z45" s="90"/>
      <c r="AA45" s="91">
        <f t="shared" si="0"/>
        <v>30000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64"/>
      <c r="R46" s="65"/>
      <c r="S46" s="66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82"/>
      <c r="R47" s="83"/>
      <c r="S47" s="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4"/>
      <c r="R48" s="65"/>
      <c r="S48" s="66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82"/>
      <c r="R49" s="83"/>
      <c r="S49" s="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64"/>
      <c r="R50" s="65"/>
      <c r="S50" s="66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82"/>
      <c r="R51" s="83"/>
      <c r="S51" s="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64"/>
      <c r="R52" s="65"/>
      <c r="S52" s="66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46"/>
      <c r="R53" s="47"/>
      <c r="S53" s="4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37" t="s">
        <v>50</v>
      </c>
      <c r="X54" s="38"/>
      <c r="Y54" s="38"/>
      <c r="Z54" s="39"/>
      <c r="AA54" s="40">
        <f>SUM(AA29:AF53)</f>
        <v>1408150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37" t="s">
        <v>51</v>
      </c>
      <c r="X55" s="38"/>
      <c r="Y55" s="38"/>
      <c r="Z55" s="39"/>
      <c r="AA55" s="40">
        <v>140815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37" t="s">
        <v>52</v>
      </c>
      <c r="X56" s="38"/>
      <c r="Y56" s="38"/>
      <c r="Z56" s="39"/>
      <c r="AA56" s="40">
        <f>IF(exclusive,SUM(AA54:AF55),AA54)</f>
        <v>1548965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28" t="s">
        <v>115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30"/>
      <c r="AT57" s="1"/>
      <c r="AU57" s="1"/>
    </row>
    <row r="58" spans="2:47" ht="12.75" customHeight="1"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  <c r="AT58" s="1"/>
      <c r="AU58" s="1"/>
    </row>
    <row r="59" spans="2:47" ht="12.75" customHeight="1"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6"/>
      <c r="AT59" s="1"/>
      <c r="AU59" s="1"/>
    </row>
    <row r="60" spans="2:47" ht="0.4" customHeight="1">
      <c r="AT60" s="1"/>
      <c r="AU60" s="1"/>
    </row>
    <row r="61" spans="2:47" ht="4.9000000000000004" hidden="1" customHeight="1"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ht="12.75" customHeight="1"/>
    <row r="66" ht="12.75" customHeight="1"/>
    <row r="67" ht="12.75" customHeight="1"/>
    <row r="68" ht="12.75" customHeight="1"/>
    <row r="69" ht="13.5" customHeight="1"/>
    <row r="70" ht="13.5" customHeight="1"/>
    <row r="71" ht="13.5" customHeight="1"/>
  </sheetData>
  <sheetProtection selectLockedCells="1" selectUnlockedCells="1"/>
  <mergeCells count="187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7:AM59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</mergeCells>
  <phoneticPr fontId="1"/>
  <dataValidations count="7">
    <dataValidation imeMode="off" allowBlank="1" showInputMessage="1" showErrorMessage="1" sqref="AU7 AU15 Q29:S53 W29:Z53" xr:uid="{5E9156D4-D227-43AC-BC17-F6B1B3E84A5A}"/>
    <dataValidation imeMode="on" allowBlank="1" showInputMessage="1" showErrorMessage="1" sqref="B8:S12 Z9:AM13 C15:Y15 K21:AF23 K25:Y25 B29:P53 T29:V53 AG29:AM53 B57:AM59" xr:uid="{869F9D1E-E041-4410-8D07-2861AE3DA803}"/>
    <dataValidation type="whole" imeMode="off" allowBlank="1" showInputMessage="1" showErrorMessage="1" sqref="BD19 AU13 AU19 AU23" xr:uid="{04956780-9F29-41E2-A92C-1BE74435C382}">
      <formula1>1</formula1>
      <formula2>31</formula2>
    </dataValidation>
    <dataValidation type="whole" imeMode="off" allowBlank="1" showInputMessage="1" showErrorMessage="1" sqref="BD18 AU12 AU18 AU22" xr:uid="{E1ADEFA6-A56C-4194-BCDA-97EAC3DFF3B1}">
      <formula1>1</formula1>
      <formula2>12</formula2>
    </dataValidation>
    <dataValidation type="whole" imeMode="off" allowBlank="1" showInputMessage="1" showErrorMessage="1" sqref="BD17 AU11 AU17 AU21" xr:uid="{90378EEC-6EA0-48B4-A94B-B384E8359AEE}">
      <formula1>1970</formula1>
      <formula2>2100</formula2>
    </dataValidation>
    <dataValidation type="list" allowBlank="1" showInputMessage="1" showErrorMessage="1" sqref="AU9" xr:uid="{08D154B0-A798-466F-8BA4-F63845F41205}">
      <formula1>$AV$9:$AX$9</formula1>
    </dataValidation>
    <dataValidation type="list" allowBlank="1" showInputMessage="1" showErrorMessage="1" sqref="AU6" xr:uid="{B33548EC-6CD6-419F-9D02-6C1959005844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B21A-B346-40EE-930C-74D63A4F0C6A}">
  <dimension ref="B2:BE71"/>
  <sheetViews>
    <sheetView showGridLines="0" topLeftCell="A25" zoomScaleNormal="100" zoomScaleSheetLayoutView="100" workbookViewId="0">
      <selection activeCell="BG19" sqref="BG19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46198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116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11</v>
      </c>
      <c r="AV9" s="1" t="s">
        <v>10</v>
      </c>
      <c r="AW9" s="1" t="s">
        <v>11</v>
      </c>
      <c r="AX9" s="1" t="s">
        <v>12</v>
      </c>
      <c r="AY9" s="1">
        <f>IF(roundType=AV9,1,0)</f>
        <v>0</v>
      </c>
      <c r="AZ9" s="1">
        <f>IF(roundType=AW9,1,0)</f>
        <v>1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6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25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20" t="s">
        <v>18</v>
      </c>
      <c r="D17" s="121"/>
      <c r="E17" s="121"/>
      <c r="F17" s="121"/>
      <c r="G17" s="121"/>
      <c r="H17" s="121"/>
      <c r="I17" s="121"/>
      <c r="J17" s="121"/>
      <c r="K17" s="122"/>
      <c r="L17" s="129">
        <f>IF(exclusive,AA54+IF(roundUp,ROUNDUP(AA54*AU7/100,0),IF(roundDown,ROUNDDOWN(AA54*AU7/100,0),ROUND(AA54*AU7/100,0))),AA54)</f>
        <v>1263000</v>
      </c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1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23"/>
      <c r="D18" s="124"/>
      <c r="E18" s="124"/>
      <c r="F18" s="124"/>
      <c r="G18" s="124"/>
      <c r="H18" s="124"/>
      <c r="I18" s="124"/>
      <c r="J18" s="124"/>
      <c r="K18" s="125"/>
      <c r="L18" s="132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4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26"/>
      <c r="D19" s="127"/>
      <c r="E19" s="127"/>
      <c r="F19" s="127"/>
      <c r="G19" s="127"/>
      <c r="H19" s="127"/>
      <c r="I19" s="127"/>
      <c r="J19" s="127"/>
      <c r="K19" s="128"/>
      <c r="L19" s="135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7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117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08" t="str">
        <f>IF(AND(nohinYear&lt;&gt;"",nohinMonth&lt;&gt;"",nohinDay&lt;&gt;""),DATE(nohinYear,nohinMonth,nohinDay),"")</f>
        <v/>
      </c>
      <c r="L24" s="108"/>
      <c r="M24" s="108"/>
      <c r="N24" s="108"/>
      <c r="O24" s="108"/>
      <c r="P24" s="108"/>
      <c r="Q24" s="108"/>
      <c r="R24" s="27" t="s">
        <v>36</v>
      </c>
      <c r="S24" s="109" t="str">
        <f>IF(AND(nohinYear2&lt;&gt;"",nohinMonth2&lt;&gt;"",nohinDay2&lt;&gt;""),DATE(nohinYear2,nohinMonth2,nohinDay2),"")</f>
        <v/>
      </c>
      <c r="T24" s="109"/>
      <c r="U24" s="109"/>
      <c r="V24" s="109"/>
      <c r="W24" s="109"/>
      <c r="X24" s="109"/>
      <c r="Y24" s="109"/>
      <c r="AH24" s="110"/>
      <c r="AI24" s="111"/>
      <c r="AJ24" s="112"/>
      <c r="AK24" s="110"/>
      <c r="AL24" s="111"/>
      <c r="AM24" s="112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13"/>
      <c r="AI25" s="114"/>
      <c r="AJ25" s="115"/>
      <c r="AK25" s="113"/>
      <c r="AL25" s="114"/>
      <c r="AM25" s="115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16"/>
      <c r="AI26" s="117"/>
      <c r="AJ26" s="118"/>
      <c r="AK26" s="116"/>
      <c r="AL26" s="117"/>
      <c r="AM26" s="118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37" t="s">
        <v>40</v>
      </c>
      <c r="R28" s="38"/>
      <c r="S28" s="39"/>
      <c r="T28" s="37" t="s">
        <v>41</v>
      </c>
      <c r="U28" s="38"/>
      <c r="V28" s="39"/>
      <c r="W28" s="37" t="str">
        <f>IF(inclusive,"単価(税込)",IF(exclusive,"単価(税抜)","単価"))</f>
        <v>単価(税抜)</v>
      </c>
      <c r="X28" s="38"/>
      <c r="Y28" s="38"/>
      <c r="Z28" s="39"/>
      <c r="AA28" s="37" t="str">
        <f>IF(inclusive,"金額(税込)",IF(exclusive,"金額(税抜)","金額"))</f>
        <v>金額(税抜)</v>
      </c>
      <c r="AB28" s="38"/>
      <c r="AC28" s="38"/>
      <c r="AD28" s="38"/>
      <c r="AE28" s="38"/>
      <c r="AF28" s="39"/>
      <c r="AG28" s="140" t="s">
        <v>42</v>
      </c>
      <c r="AH28" s="141"/>
      <c r="AI28" s="141"/>
      <c r="AJ28" s="141"/>
      <c r="AK28" s="141"/>
      <c r="AL28" s="141"/>
      <c r="AM28" s="142"/>
      <c r="AT28" s="1"/>
      <c r="AU28" s="1"/>
    </row>
    <row r="29" spans="2:57" ht="12.75" customHeight="1">
      <c r="B29" s="143" t="s">
        <v>118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12"/>
      <c r="R29" s="213"/>
      <c r="S29" s="214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119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206">
        <v>330</v>
      </c>
      <c r="R30" s="207"/>
      <c r="S30" s="208"/>
      <c r="T30" s="67" t="s">
        <v>57</v>
      </c>
      <c r="U30" s="68"/>
      <c r="V30" s="69"/>
      <c r="W30" s="70">
        <v>900</v>
      </c>
      <c r="X30" s="71"/>
      <c r="Y30" s="71"/>
      <c r="Z30" s="72"/>
      <c r="AA30" s="73">
        <f t="shared" si="0"/>
        <v>297000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209"/>
      <c r="R31" s="210"/>
      <c r="S31" s="211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120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206">
        <v>291</v>
      </c>
      <c r="R32" s="207"/>
      <c r="S32" s="208"/>
      <c r="T32" s="67" t="s">
        <v>57</v>
      </c>
      <c r="U32" s="68"/>
      <c r="V32" s="69"/>
      <c r="W32" s="70">
        <v>200</v>
      </c>
      <c r="X32" s="71"/>
      <c r="Y32" s="71"/>
      <c r="Z32" s="72"/>
      <c r="AA32" s="73">
        <f t="shared" si="0"/>
        <v>58200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209"/>
      <c r="R33" s="210"/>
      <c r="S33" s="211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121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206">
        <v>266</v>
      </c>
      <c r="R34" s="207"/>
      <c r="S34" s="208"/>
      <c r="T34" s="67" t="s">
        <v>57</v>
      </c>
      <c r="U34" s="68"/>
      <c r="V34" s="69"/>
      <c r="W34" s="70">
        <v>2400</v>
      </c>
      <c r="X34" s="71"/>
      <c r="Y34" s="71"/>
      <c r="Z34" s="72"/>
      <c r="AA34" s="73">
        <f t="shared" si="0"/>
        <v>638400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209"/>
      <c r="R35" s="210"/>
      <c r="S35" s="211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122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206">
        <v>13</v>
      </c>
      <c r="R36" s="207"/>
      <c r="S36" s="208"/>
      <c r="T36" s="67" t="s">
        <v>123</v>
      </c>
      <c r="U36" s="68"/>
      <c r="V36" s="69"/>
      <c r="W36" s="70">
        <v>2700</v>
      </c>
      <c r="X36" s="71"/>
      <c r="Y36" s="71"/>
      <c r="Z36" s="72"/>
      <c r="AA36" s="73">
        <f>IF(roundUp,ROUNDUP(Q36*W36,0),IF(roundDown,ROUNDDOWN(Q36*W36,0),ROUND(Q36*W36,0)))</f>
        <v>35100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 t="s">
        <v>124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209">
        <v>4</v>
      </c>
      <c r="R37" s="210"/>
      <c r="S37" s="211"/>
      <c r="T37" s="85" t="s">
        <v>123</v>
      </c>
      <c r="U37" s="86"/>
      <c r="V37" s="87"/>
      <c r="W37" s="88">
        <v>6000</v>
      </c>
      <c r="X37" s="89"/>
      <c r="Y37" s="89"/>
      <c r="Z37" s="90"/>
      <c r="AA37" s="91">
        <f>IF(roundUp,ROUNDUP(Q37*W37,0),IF(roundDown,ROUNDDOWN(Q37*W37,0),ROUND(Q37*W37,0)))</f>
        <v>24000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206"/>
      <c r="R38" s="207"/>
      <c r="S38" s="208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 t="s">
        <v>125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209">
        <v>1</v>
      </c>
      <c r="R39" s="210"/>
      <c r="S39" s="211"/>
      <c r="T39" s="85" t="s">
        <v>46</v>
      </c>
      <c r="U39" s="86"/>
      <c r="V39" s="87"/>
      <c r="W39" s="88">
        <v>25000</v>
      </c>
      <c r="X39" s="89"/>
      <c r="Y39" s="89"/>
      <c r="Z39" s="90"/>
      <c r="AA39" s="91">
        <f t="shared" si="0"/>
        <v>25000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206"/>
      <c r="R40" s="207"/>
      <c r="S40" s="208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 t="s">
        <v>126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209">
        <v>25</v>
      </c>
      <c r="R41" s="210"/>
      <c r="S41" s="211"/>
      <c r="T41" s="85" t="s">
        <v>57</v>
      </c>
      <c r="U41" s="86"/>
      <c r="V41" s="87"/>
      <c r="W41" s="88">
        <v>2000</v>
      </c>
      <c r="X41" s="89"/>
      <c r="Y41" s="89"/>
      <c r="Z41" s="90"/>
      <c r="AA41" s="91">
        <f t="shared" si="0"/>
        <v>50000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206"/>
      <c r="R42" s="207"/>
      <c r="S42" s="208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 t="s">
        <v>127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209">
        <v>8</v>
      </c>
      <c r="R43" s="210"/>
      <c r="S43" s="211"/>
      <c r="T43" s="85" t="s">
        <v>57</v>
      </c>
      <c r="U43" s="86"/>
      <c r="V43" s="87"/>
      <c r="W43" s="88">
        <v>2200</v>
      </c>
      <c r="X43" s="89"/>
      <c r="Y43" s="89"/>
      <c r="Z43" s="90"/>
      <c r="AA43" s="91">
        <f t="shared" si="0"/>
        <v>17600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 t="s">
        <v>128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206"/>
      <c r="R44" s="207"/>
      <c r="S44" s="208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209"/>
      <c r="R45" s="210"/>
      <c r="S45" s="211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 t="s">
        <v>129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206">
        <v>1</v>
      </c>
      <c r="R46" s="207"/>
      <c r="S46" s="208"/>
      <c r="T46" s="67" t="s">
        <v>46</v>
      </c>
      <c r="U46" s="68"/>
      <c r="V46" s="69"/>
      <c r="W46" s="70">
        <v>2882</v>
      </c>
      <c r="X46" s="71"/>
      <c r="Y46" s="71"/>
      <c r="Z46" s="72"/>
      <c r="AA46" s="73">
        <f t="shared" si="0"/>
        <v>2882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209"/>
      <c r="R47" s="210"/>
      <c r="S47" s="211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206"/>
      <c r="R48" s="207"/>
      <c r="S48" s="208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209"/>
      <c r="R49" s="210"/>
      <c r="S49" s="211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206"/>
      <c r="R50" s="207"/>
      <c r="S50" s="208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209"/>
      <c r="R51" s="210"/>
      <c r="S51" s="211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206"/>
      <c r="R52" s="207"/>
      <c r="S52" s="208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46"/>
      <c r="R53" s="47"/>
      <c r="S53" s="4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37" t="s">
        <v>50</v>
      </c>
      <c r="X54" s="38"/>
      <c r="Y54" s="38"/>
      <c r="Z54" s="39"/>
      <c r="AA54" s="40">
        <f>SUM(AA29:AF53)</f>
        <v>1148182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37" t="s">
        <v>51</v>
      </c>
      <c r="X55" s="38"/>
      <c r="Y55" s="38"/>
      <c r="Z55" s="39"/>
      <c r="AA55" s="40">
        <v>114818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37" t="s">
        <v>52</v>
      </c>
      <c r="X56" s="38"/>
      <c r="Y56" s="38"/>
      <c r="Z56" s="39"/>
      <c r="AA56" s="40">
        <f>IF(exclusive,SUM(AA54:AF55),AA54)</f>
        <v>1263000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28" t="s">
        <v>130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30"/>
      <c r="AT57" s="1"/>
      <c r="AU57" s="1"/>
    </row>
    <row r="58" spans="2:47" ht="12.75" customHeight="1"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  <c r="AT58" s="1"/>
      <c r="AU58" s="1"/>
    </row>
    <row r="59" spans="2:47" ht="12.75" customHeight="1"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6"/>
      <c r="AT59" s="1"/>
      <c r="AU59" s="1"/>
    </row>
    <row r="60" spans="2:47" ht="0.4" customHeight="1">
      <c r="AT60" s="1"/>
      <c r="AU60" s="1"/>
    </row>
    <row r="61" spans="2:47" ht="4.9000000000000004" hidden="1" customHeight="1"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ht="12.75" customHeight="1"/>
    <row r="66" ht="12.75" customHeight="1"/>
    <row r="67" ht="12.75" customHeight="1"/>
    <row r="68" ht="12.75" customHeight="1"/>
    <row r="69" ht="13.5" customHeight="1"/>
    <row r="70" ht="13.5" customHeight="1"/>
    <row r="71" ht="13.5" customHeight="1"/>
  </sheetData>
  <sheetProtection selectLockedCells="1" selectUnlockedCells="1"/>
  <mergeCells count="187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7:AM59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</mergeCells>
  <phoneticPr fontId="1"/>
  <dataValidations count="7">
    <dataValidation type="list" allowBlank="1" showInputMessage="1" showErrorMessage="1" sqref="AU6" xr:uid="{2A30E8DD-D2DC-46A1-AD19-205D4B884B94}">
      <formula1>$AV$6:$AX$6</formula1>
    </dataValidation>
    <dataValidation type="list" allowBlank="1" showInputMessage="1" showErrorMessage="1" sqref="AU9" xr:uid="{88A8CD1F-96D3-4367-ABD7-EC551F45D82E}">
      <formula1>$AV$9:$AX$9</formula1>
    </dataValidation>
    <dataValidation type="whole" imeMode="off" allowBlank="1" showInputMessage="1" showErrorMessage="1" sqref="BD17 AU11 AU17 AU21" xr:uid="{44A87FE3-0446-43E5-85EC-CB978289D2DD}">
      <formula1>1970</formula1>
      <formula2>2100</formula2>
    </dataValidation>
    <dataValidation type="whole" imeMode="off" allowBlank="1" showInputMessage="1" showErrorMessage="1" sqref="BD18 AU12 AU18 AU22" xr:uid="{52952B00-8F9E-4018-A430-B47BC362DD0D}">
      <formula1>1</formula1>
      <formula2>12</formula2>
    </dataValidation>
    <dataValidation type="whole" imeMode="off" allowBlank="1" showInputMessage="1" showErrorMessage="1" sqref="BD19 AU13 AU19 AU23" xr:uid="{7B62316A-85A9-4374-BD25-3809ECFE4278}">
      <formula1>1</formula1>
      <formula2>31</formula2>
    </dataValidation>
    <dataValidation imeMode="on" allowBlank="1" showInputMessage="1" showErrorMessage="1" sqref="B8:S12 Z9:AM13 C15:Y15 K21:AF23 K25:Y25 B29:P53 T29:V53 AG29:AM53 B57:AM59" xr:uid="{0E9EC60B-B9AD-4BDF-96EF-C1B4281F543E}"/>
    <dataValidation imeMode="off" allowBlank="1" showInputMessage="1" showErrorMessage="1" sqref="AU7 AU15 Q29:S53 W29:Z53" xr:uid="{34F49D8E-147C-4E63-BB5B-EE560696D2B8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E8DB-3017-46CD-8334-902DF4BDEBED}">
  <dimension ref="B2:BE71"/>
  <sheetViews>
    <sheetView showGridLines="0" topLeftCell="A37" zoomScaleNormal="100" zoomScaleSheetLayoutView="100" workbookViewId="0">
      <selection activeCell="AS49" sqref="AS49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46149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131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5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7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434093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132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133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146">
        <v>139</v>
      </c>
      <c r="R29" s="147"/>
      <c r="S29" s="148"/>
      <c r="T29" s="149" t="s">
        <v>57</v>
      </c>
      <c r="U29" s="150"/>
      <c r="V29" s="151"/>
      <c r="W29" s="152">
        <v>150</v>
      </c>
      <c r="X29" s="153"/>
      <c r="Y29" s="153"/>
      <c r="Z29" s="154"/>
      <c r="AA29" s="155">
        <f t="shared" ref="AA29:AA53" si="0">IF(roundUp,ROUNDUP(Q29*W29,0),IF(roundDown,ROUNDDOWN(Q29*W29,0),ROUND(Q29*W29,0)))</f>
        <v>20850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64"/>
      <c r="R30" s="65"/>
      <c r="S30" s="66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 t="s">
        <v>87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82"/>
      <c r="R31" s="83"/>
      <c r="S31" s="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134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64">
        <v>139</v>
      </c>
      <c r="R32" s="65"/>
      <c r="S32" s="66"/>
      <c r="T32" s="67" t="s">
        <v>57</v>
      </c>
      <c r="U32" s="68"/>
      <c r="V32" s="69"/>
      <c r="W32" s="70">
        <v>2300</v>
      </c>
      <c r="X32" s="71"/>
      <c r="Y32" s="71"/>
      <c r="Z32" s="72"/>
      <c r="AA32" s="73">
        <f t="shared" si="0"/>
        <v>319700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82"/>
      <c r="R33" s="83"/>
      <c r="S33" s="84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 t="s">
        <v>135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64">
        <v>15.6</v>
      </c>
      <c r="R34" s="65"/>
      <c r="S34" s="66"/>
      <c r="T34" s="67" t="s">
        <v>57</v>
      </c>
      <c r="U34" s="68"/>
      <c r="V34" s="69"/>
      <c r="W34" s="70">
        <v>1800</v>
      </c>
      <c r="X34" s="71"/>
      <c r="Y34" s="71"/>
      <c r="Z34" s="72"/>
      <c r="AA34" s="73">
        <f t="shared" si="0"/>
        <v>28080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82"/>
      <c r="R35" s="83"/>
      <c r="S35" s="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 t="s">
        <v>136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64">
        <v>8</v>
      </c>
      <c r="R36" s="65"/>
      <c r="S36" s="66"/>
      <c r="T36" s="67" t="s">
        <v>137</v>
      </c>
      <c r="U36" s="68"/>
      <c r="V36" s="69"/>
      <c r="W36" s="70">
        <v>2600</v>
      </c>
      <c r="X36" s="71"/>
      <c r="Y36" s="71"/>
      <c r="Z36" s="72"/>
      <c r="AA36" s="73">
        <f t="shared" si="0"/>
        <v>20800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2"/>
      <c r="R37" s="83"/>
      <c r="S37" s="84"/>
      <c r="T37" s="85"/>
      <c r="U37" s="86"/>
      <c r="V37" s="87"/>
      <c r="W37" s="88"/>
      <c r="X37" s="89"/>
      <c r="Y37" s="89"/>
      <c r="Z37" s="90"/>
      <c r="AA37" s="91">
        <f>IF(roundUp,ROUNDUP(Q37*W37,0),IF(roundDown,ROUNDDOWN(Q37*W37,0),ROUND(37*W37,0)))</f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 t="s">
        <v>138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64">
        <v>4</v>
      </c>
      <c r="R38" s="65"/>
      <c r="S38" s="66"/>
      <c r="T38" s="67" t="s">
        <v>137</v>
      </c>
      <c r="U38" s="68"/>
      <c r="V38" s="69"/>
      <c r="W38" s="70">
        <v>1300</v>
      </c>
      <c r="X38" s="71"/>
      <c r="Y38" s="71"/>
      <c r="Z38" s="72"/>
      <c r="AA38" s="73">
        <f t="shared" si="0"/>
        <v>5200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  <c r="AU38" s="2" t="s">
        <v>139</v>
      </c>
    </row>
    <row r="39" spans="2:47" ht="12.75" customHeight="1">
      <c r="B39" s="97" t="s">
        <v>128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82"/>
      <c r="R39" s="83"/>
      <c r="S39" s="84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64"/>
      <c r="R40" s="65"/>
      <c r="S40" s="66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82"/>
      <c r="R41" s="83"/>
      <c r="S41" s="84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64"/>
      <c r="R42" s="65"/>
      <c r="S42" s="66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82"/>
      <c r="R43" s="83"/>
      <c r="S43" s="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4"/>
      <c r="R44" s="65"/>
      <c r="S44" s="66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82"/>
      <c r="R45" s="83"/>
      <c r="S45" s="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64"/>
      <c r="R46" s="65"/>
      <c r="S46" s="66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82"/>
      <c r="R47" s="83"/>
      <c r="S47" s="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4"/>
      <c r="R48" s="65"/>
      <c r="S48" s="66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82"/>
      <c r="R49" s="83"/>
      <c r="S49" s="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64"/>
      <c r="R50" s="65"/>
      <c r="S50" s="66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82"/>
      <c r="R51" s="83"/>
      <c r="S51" s="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64"/>
      <c r="R52" s="65"/>
      <c r="S52" s="66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46"/>
      <c r="R53" s="47"/>
      <c r="S53" s="4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394630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v>39460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434090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130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</mergeCells>
  <phoneticPr fontId="1"/>
  <dataValidations count="7">
    <dataValidation imeMode="off" allowBlank="1" showInputMessage="1" showErrorMessage="1" sqref="AU7 AU15 Q29:S53 W29:Z53" xr:uid="{3BFDEB34-11AF-4AFE-ADF5-327B98796CF4}"/>
    <dataValidation imeMode="on" allowBlank="1" showInputMessage="1" showErrorMessage="1" sqref="B8:S12 Z9:AM13 C15:Y15 K21:AF23 K25:Y25 B29:P53 T29:V53 AG29:AM53 B58:AM60" xr:uid="{8B12D8C1-08E6-4F9C-B5D2-C343A708F678}"/>
    <dataValidation type="whole" imeMode="off" allowBlank="1" showInputMessage="1" showErrorMessage="1" sqref="BD19 AU13 AU19 AU23" xr:uid="{3391DA2F-A094-4B7C-B7AC-841F10313F14}">
      <formula1>1</formula1>
      <formula2>31</formula2>
    </dataValidation>
    <dataValidation type="whole" imeMode="off" allowBlank="1" showInputMessage="1" showErrorMessage="1" sqref="BD18 AU12 AU18 AU22" xr:uid="{29FE43F3-C0A0-415E-941B-F7E99DC18727}">
      <formula1>1</formula1>
      <formula2>12</formula2>
    </dataValidation>
    <dataValidation type="whole" imeMode="off" allowBlank="1" showInputMessage="1" showErrorMessage="1" sqref="BD17 AU11 AU17 AU21" xr:uid="{895B1158-C0B4-4989-929F-74AACE119CF4}">
      <formula1>1970</formula1>
      <formula2>2100</formula2>
    </dataValidation>
    <dataValidation type="list" allowBlank="1" showInputMessage="1" showErrorMessage="1" sqref="AU9" xr:uid="{67547EA3-C3B0-48D6-AF20-F6DF88754D62}">
      <formula1>$AV$9:$AX$9</formula1>
    </dataValidation>
    <dataValidation type="list" allowBlank="1" showInputMessage="1" showErrorMessage="1" sqref="AU6" xr:uid="{615AEDA3-6817-4CDB-97A8-54FEA6D146F9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61CC-1A04-4F1F-9073-D27B92FD3811}">
  <dimension ref="B2:BE71"/>
  <sheetViews>
    <sheetView showGridLines="0" topLeftCell="A37" zoomScaleNormal="100" zoomScaleSheetLayoutView="100" workbookViewId="0">
      <selection activeCell="B58" sqref="B58:AM60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>
        <f>printNo</f>
        <v>0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46193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131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140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6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20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IF(exclusive,AA54+IF(roundUp,ROUNDUP(AA54*AU7/100,0),IF(roundDown,ROUNDDOWN(AA54*AU7/100,0),ROUND(AA54*AU7/100,0))),AA54)</f>
        <v>107800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141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142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146"/>
      <c r="R29" s="147"/>
      <c r="S29" s="148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143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64">
        <v>7</v>
      </c>
      <c r="R30" s="65"/>
      <c r="S30" s="66"/>
      <c r="T30" s="67" t="s">
        <v>57</v>
      </c>
      <c r="U30" s="68"/>
      <c r="V30" s="69"/>
      <c r="W30" s="70">
        <v>500</v>
      </c>
      <c r="X30" s="71"/>
      <c r="Y30" s="71"/>
      <c r="Z30" s="72"/>
      <c r="AA30" s="73">
        <f t="shared" si="0"/>
        <v>3500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 t="s">
        <v>144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82"/>
      <c r="R31" s="83"/>
      <c r="S31" s="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145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64"/>
      <c r="R32" s="65"/>
      <c r="S32" s="66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 t="s">
        <v>146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82">
        <v>7</v>
      </c>
      <c r="R33" s="83"/>
      <c r="S33" s="84"/>
      <c r="T33" s="85" t="s">
        <v>57</v>
      </c>
      <c r="U33" s="86"/>
      <c r="V33" s="87"/>
      <c r="W33" s="88">
        <v>13500</v>
      </c>
      <c r="X33" s="89"/>
      <c r="Y33" s="89"/>
      <c r="Z33" s="90"/>
      <c r="AA33" s="91">
        <f t="shared" si="0"/>
        <v>94500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64"/>
      <c r="R34" s="65"/>
      <c r="S34" s="66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82"/>
      <c r="R35" s="83"/>
      <c r="S35" s="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64"/>
      <c r="R36" s="65"/>
      <c r="S36" s="66"/>
      <c r="T36" s="67"/>
      <c r="U36" s="68"/>
      <c r="V36" s="69"/>
      <c r="W36" s="70"/>
      <c r="X36" s="71"/>
      <c r="Y36" s="71"/>
      <c r="Z36" s="72"/>
      <c r="AA36" s="73">
        <f t="shared" si="0"/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2"/>
      <c r="R37" s="83"/>
      <c r="S37" s="84"/>
      <c r="T37" s="85"/>
      <c r="U37" s="86"/>
      <c r="V37" s="87"/>
      <c r="W37" s="88"/>
      <c r="X37" s="89"/>
      <c r="Y37" s="89"/>
      <c r="Z37" s="90"/>
      <c r="AA37" s="91">
        <f>IF(roundUp,ROUNDUP(Q37*W37,0),IF(roundDown,ROUNDDOWN(Q37*W37,0),ROUND(37*W37,0)))</f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64"/>
      <c r="R38" s="65"/>
      <c r="S38" s="66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82"/>
      <c r="R39" s="83"/>
      <c r="S39" s="84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64"/>
      <c r="R40" s="65"/>
      <c r="S40" s="66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82"/>
      <c r="R41" s="83"/>
      <c r="S41" s="84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64"/>
      <c r="R42" s="65"/>
      <c r="S42" s="66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82"/>
      <c r="R43" s="83"/>
      <c r="S43" s="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4"/>
      <c r="R44" s="65"/>
      <c r="S44" s="66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82"/>
      <c r="R45" s="83"/>
      <c r="S45" s="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64"/>
      <c r="R46" s="65"/>
      <c r="S46" s="66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82"/>
      <c r="R47" s="83"/>
      <c r="S47" s="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4"/>
      <c r="R48" s="65"/>
      <c r="S48" s="66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82"/>
      <c r="R49" s="83"/>
      <c r="S49" s="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64"/>
      <c r="R50" s="65"/>
      <c r="S50" s="66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82"/>
      <c r="R51" s="83"/>
      <c r="S51" s="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64"/>
      <c r="R52" s="65"/>
      <c r="S52" s="66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46"/>
      <c r="R53" s="47"/>
      <c r="S53" s="4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98000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v>9800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IF(exclusive,SUM(AA54:AF55),AA54)</f>
        <v>107800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147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</mergeCells>
  <phoneticPr fontId="1"/>
  <dataValidations count="7">
    <dataValidation type="list" allowBlank="1" showInputMessage="1" showErrorMessage="1" sqref="AU6" xr:uid="{06E527D4-096C-4917-B8AE-13BC75956867}">
      <formula1>$AV$6:$AX$6</formula1>
    </dataValidation>
    <dataValidation type="list" allowBlank="1" showInputMessage="1" showErrorMessage="1" sqref="AU9" xr:uid="{BBD59614-F63F-4DE8-9DE4-F4FC3D5F7370}">
      <formula1>$AV$9:$AX$9</formula1>
    </dataValidation>
    <dataValidation type="whole" imeMode="off" allowBlank="1" showInputMessage="1" showErrorMessage="1" sqref="BD17 AU11 AU17 AU21" xr:uid="{6B0E1D98-0633-4C89-95B7-DA7762FB6F3A}">
      <formula1>1970</formula1>
      <formula2>2100</formula2>
    </dataValidation>
    <dataValidation type="whole" imeMode="off" allowBlank="1" showInputMessage="1" showErrorMessage="1" sqref="BD18 AU12 AU18 AU22" xr:uid="{3E4F0C61-B31B-4CEC-88AF-D6F15227F919}">
      <formula1>1</formula1>
      <formula2>12</formula2>
    </dataValidation>
    <dataValidation type="whole" imeMode="off" allowBlank="1" showInputMessage="1" showErrorMessage="1" sqref="BD19 AU13 AU19 AU23" xr:uid="{73B4EFB1-75E0-4548-97F1-4BCEB9B908A9}">
      <formula1>1</formula1>
      <formula2>31</formula2>
    </dataValidation>
    <dataValidation imeMode="on" allowBlank="1" showInputMessage="1" showErrorMessage="1" sqref="B8:S12 Z9:AM13 C15:Y15 K21:AF23 K25:Y25 B29:P53 T29:V53 AG29:AM53 B58:AM60" xr:uid="{C696EEA6-3464-4465-AF9F-8861C7360B4B}"/>
    <dataValidation imeMode="off" allowBlank="1" showInputMessage="1" showErrorMessage="1" sqref="AU7 AU15 Q29:S53 W29:Z53" xr:uid="{6AF19327-2CB1-4098-B3B6-4C7F2AA7622F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8584-5FC1-4B39-8BFA-95E8138A7FE2}">
  <dimension ref="B2:BE71"/>
  <sheetViews>
    <sheetView showGridLines="0" topLeftCell="A40" zoomScaleNormal="100" zoomScaleSheetLayoutView="100" workbookViewId="0">
      <selection activeCell="M64" sqref="M64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46071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2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18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IF(exclusive,SUM(AA54:AF55),AA54)</f>
        <v>1143202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148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149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12"/>
      <c r="R29" s="213"/>
      <c r="S29" s="214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206"/>
      <c r="R30" s="207"/>
      <c r="S30" s="208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 t="s">
        <v>150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209">
        <v>398.7</v>
      </c>
      <c r="R31" s="210"/>
      <c r="S31" s="211"/>
      <c r="T31" s="85" t="s">
        <v>57</v>
      </c>
      <c r="U31" s="86"/>
      <c r="V31" s="87"/>
      <c r="W31" s="88">
        <v>150</v>
      </c>
      <c r="X31" s="89"/>
      <c r="Y31" s="89"/>
      <c r="Z31" s="90"/>
      <c r="AA31" s="91">
        <f t="shared" si="0"/>
        <v>59805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206"/>
      <c r="R32" s="207"/>
      <c r="S32" s="208"/>
      <c r="T32" s="67"/>
      <c r="U32" s="68"/>
      <c r="V32" s="69"/>
      <c r="W32" s="70"/>
      <c r="X32" s="71"/>
      <c r="Y32" s="71"/>
      <c r="Z32" s="72"/>
      <c r="AA32" s="73">
        <f t="shared" si="0"/>
        <v>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 t="s">
        <v>72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209">
        <v>162.30000000000001</v>
      </c>
      <c r="R33" s="210"/>
      <c r="S33" s="211"/>
      <c r="T33" s="85" t="s">
        <v>57</v>
      </c>
      <c r="U33" s="86"/>
      <c r="V33" s="87"/>
      <c r="W33" s="88">
        <v>2500</v>
      </c>
      <c r="X33" s="89"/>
      <c r="Y33" s="89"/>
      <c r="Z33" s="90"/>
      <c r="AA33" s="91">
        <f t="shared" si="0"/>
        <v>405750</v>
      </c>
      <c r="AB33" s="92"/>
      <c r="AC33" s="92"/>
      <c r="AD33" s="92"/>
      <c r="AE33" s="92"/>
      <c r="AF33" s="93"/>
      <c r="AG33" s="94" t="s">
        <v>151</v>
      </c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206"/>
      <c r="R34" s="207"/>
      <c r="S34" s="208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 t="s">
        <v>152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209">
        <v>236.4</v>
      </c>
      <c r="R35" s="210"/>
      <c r="S35" s="211"/>
      <c r="T35" s="85" t="s">
        <v>57</v>
      </c>
      <c r="U35" s="86"/>
      <c r="V35" s="87"/>
      <c r="W35" s="88">
        <v>2300</v>
      </c>
      <c r="X35" s="89"/>
      <c r="Y35" s="89"/>
      <c r="Z35" s="90"/>
      <c r="AA35" s="91">
        <f t="shared" si="0"/>
        <v>543720</v>
      </c>
      <c r="AB35" s="92"/>
      <c r="AC35" s="92"/>
      <c r="AD35" s="92"/>
      <c r="AE35" s="92"/>
      <c r="AF35" s="93"/>
      <c r="AG35" s="94" t="s">
        <v>153</v>
      </c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206"/>
      <c r="R36" s="207"/>
      <c r="S36" s="208"/>
      <c r="T36" s="67"/>
      <c r="U36" s="68"/>
      <c r="V36" s="69"/>
      <c r="W36" s="70"/>
      <c r="X36" s="71"/>
      <c r="Y36" s="71"/>
      <c r="Z36" s="72"/>
      <c r="AA36" s="73">
        <f>IF(roundUp,ROUNDUP(Q36*W36,0),IF(roundDown,ROUNDDOWN(Q36*W36,0),ROUND(Q36*W36,0)))</f>
        <v>0</v>
      </c>
      <c r="AB36" s="74"/>
      <c r="AC36" s="74"/>
      <c r="AD36" s="74"/>
      <c r="AE36" s="74"/>
      <c r="AF36" s="75"/>
      <c r="AG36" s="76" t="s">
        <v>154</v>
      </c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209"/>
      <c r="R37" s="210"/>
      <c r="S37" s="211"/>
      <c r="T37" s="85"/>
      <c r="U37" s="86"/>
      <c r="V37" s="87"/>
      <c r="W37" s="88"/>
      <c r="X37" s="89"/>
      <c r="Y37" s="89"/>
      <c r="Z37" s="90"/>
      <c r="AA37" s="91">
        <f>IF(roundUp,ROUNDUP(Q37*W37,0),IF(roundDown,ROUNDDOWN(Q37*W37,0),ROUND(Q37*W37,0)))</f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 t="s">
        <v>155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206">
        <v>1</v>
      </c>
      <c r="R38" s="207"/>
      <c r="S38" s="208"/>
      <c r="T38" s="67" t="s">
        <v>46</v>
      </c>
      <c r="U38" s="68"/>
      <c r="V38" s="69"/>
      <c r="W38" s="70">
        <v>30000</v>
      </c>
      <c r="X38" s="71"/>
      <c r="Y38" s="71"/>
      <c r="Z38" s="72"/>
      <c r="AA38" s="73">
        <f t="shared" si="0"/>
        <v>30000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209"/>
      <c r="R39" s="210"/>
      <c r="S39" s="211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206"/>
      <c r="R40" s="207"/>
      <c r="S40" s="208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209"/>
      <c r="R41" s="210"/>
      <c r="S41" s="211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206"/>
      <c r="R42" s="207"/>
      <c r="S42" s="208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209"/>
      <c r="R43" s="210"/>
      <c r="S43" s="211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206"/>
      <c r="R44" s="207"/>
      <c r="S44" s="208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209"/>
      <c r="R45" s="210"/>
      <c r="S45" s="211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206"/>
      <c r="R46" s="207"/>
      <c r="S46" s="208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209"/>
      <c r="R47" s="210"/>
      <c r="S47" s="211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206"/>
      <c r="R48" s="207"/>
      <c r="S48" s="208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209"/>
      <c r="R49" s="210"/>
      <c r="S49" s="211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206"/>
      <c r="R50" s="207"/>
      <c r="S50" s="208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209"/>
      <c r="R51" s="210"/>
      <c r="S51" s="211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206"/>
      <c r="R52" s="207"/>
      <c r="S52" s="208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215"/>
      <c r="R53" s="216"/>
      <c r="S53" s="217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1039275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B55" s="101" t="s">
        <v>156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W55" s="173" t="s">
        <v>51</v>
      </c>
      <c r="X55" s="174"/>
      <c r="Y55" s="174"/>
      <c r="Z55" s="175"/>
      <c r="AA55" s="40">
        <v>103927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B56" s="101" t="s">
        <v>157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W56" s="173" t="s">
        <v>52</v>
      </c>
      <c r="X56" s="174"/>
      <c r="Y56" s="174"/>
      <c r="Z56" s="175"/>
      <c r="AA56" s="40">
        <f>SUM(AA54:AA55)</f>
        <v>1143202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AT57" s="1"/>
      <c r="AU57" s="1"/>
    </row>
    <row r="58" spans="2:47" ht="12.75" customHeight="1">
      <c r="AT58" s="1"/>
      <c r="AU58" s="1"/>
    </row>
    <row r="59" spans="2:47" ht="6" customHeight="1">
      <c r="AT59" s="1"/>
      <c r="AU59" s="1"/>
    </row>
    <row r="60" spans="2:47" ht="12.4" hidden="1" customHeight="1"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B55:L55"/>
    <mergeCell ref="B56:N56"/>
  </mergeCells>
  <phoneticPr fontId="1"/>
  <dataValidations count="7">
    <dataValidation imeMode="off" allowBlank="1" showInputMessage="1" showErrorMessage="1" sqref="AU7 AU15 Q29:S53 W29:Z53" xr:uid="{15CEFA44-1062-4CD3-86B0-0896123800DC}"/>
    <dataValidation imeMode="on" allowBlank="1" showInputMessage="1" showErrorMessage="1" sqref="B8:S12 Z9:AM13 C15:Y15 K21:AF23 K25:Y25 B29:P53 T29:V53 AG29:AM53" xr:uid="{C41DADB8-877F-4D0C-B8D9-63C29ED425DD}"/>
    <dataValidation type="whole" imeMode="off" allowBlank="1" showInputMessage="1" showErrorMessage="1" sqref="BD19 AU13 AU19 AU23" xr:uid="{9A867366-0E67-4C83-A85B-FE9EAD0497C9}">
      <formula1>1</formula1>
      <formula2>31</formula2>
    </dataValidation>
    <dataValidation type="whole" imeMode="off" allowBlank="1" showInputMessage="1" showErrorMessage="1" sqref="BD18 AU12 AU18 AU22" xr:uid="{9890CF8A-AC7E-460F-8338-04B23642DA95}">
      <formula1>1</formula1>
      <formula2>12</formula2>
    </dataValidation>
    <dataValidation type="whole" imeMode="off" allowBlank="1" showInputMessage="1" showErrorMessage="1" sqref="BD17 AU11 AU17 AU21" xr:uid="{1C3829F5-3BF8-4725-9ECB-7314E8DF42F6}">
      <formula1>1970</formula1>
      <formula2>2100</formula2>
    </dataValidation>
    <dataValidation type="list" allowBlank="1" showInputMessage="1" showErrorMessage="1" sqref="AU9" xr:uid="{52E78FAE-78A5-45A8-B8D9-120EB7218A96}">
      <formula1>$AV$9:$AX$9</formula1>
    </dataValidation>
    <dataValidation type="list" allowBlank="1" showInputMessage="1" showErrorMessage="1" sqref="AU6" xr:uid="{079CEC03-DAD2-4454-ABC0-AAB965D9B5C9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92BF-DA65-4ECA-8BFB-0401382E4031}">
  <dimension ref="B2:BE71"/>
  <sheetViews>
    <sheetView showGridLines="0" topLeftCell="A37" zoomScaleNormal="100" zoomScaleSheetLayoutView="100" workbookViewId="0">
      <selection activeCell="B56" sqref="B56:N56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46176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158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6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3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IF(exclusive,SUM(AA54:AF55),AA54)</f>
        <v>44000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159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 t="s">
        <v>160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212"/>
      <c r="R29" s="213"/>
      <c r="S29" s="214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 t="s">
        <v>161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206"/>
      <c r="R30" s="207"/>
      <c r="S30" s="208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 t="s">
        <v>162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209">
        <v>5</v>
      </c>
      <c r="R31" s="210"/>
      <c r="S31" s="211"/>
      <c r="T31" s="85" t="s">
        <v>57</v>
      </c>
      <c r="U31" s="86"/>
      <c r="V31" s="87"/>
      <c r="W31" s="88">
        <v>4000</v>
      </c>
      <c r="X31" s="89"/>
      <c r="Y31" s="89"/>
      <c r="Z31" s="90"/>
      <c r="AA31" s="91">
        <f t="shared" si="0"/>
        <v>20000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163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206">
        <v>5</v>
      </c>
      <c r="R32" s="207"/>
      <c r="S32" s="208"/>
      <c r="T32" s="67" t="s">
        <v>57</v>
      </c>
      <c r="U32" s="68"/>
      <c r="V32" s="69"/>
      <c r="W32" s="70">
        <v>4000</v>
      </c>
      <c r="X32" s="71"/>
      <c r="Y32" s="71"/>
      <c r="Z32" s="72"/>
      <c r="AA32" s="73">
        <f t="shared" si="0"/>
        <v>20000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209"/>
      <c r="R33" s="210"/>
      <c r="S33" s="211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206"/>
      <c r="R34" s="207"/>
      <c r="S34" s="208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209"/>
      <c r="R35" s="210"/>
      <c r="S35" s="211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206"/>
      <c r="R36" s="207"/>
      <c r="S36" s="208"/>
      <c r="T36" s="67"/>
      <c r="U36" s="68"/>
      <c r="V36" s="69"/>
      <c r="W36" s="70"/>
      <c r="X36" s="71"/>
      <c r="Y36" s="71"/>
      <c r="Z36" s="72"/>
      <c r="AA36" s="73">
        <f>IF(roundUp,ROUNDUP(Q36*W36,0),IF(roundDown,ROUNDDOWN(Q36*W36,0),ROUND(Q36*W36,0)))</f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209"/>
      <c r="R37" s="210"/>
      <c r="S37" s="211"/>
      <c r="T37" s="85"/>
      <c r="U37" s="86"/>
      <c r="V37" s="87"/>
      <c r="W37" s="88"/>
      <c r="X37" s="89"/>
      <c r="Y37" s="89"/>
      <c r="Z37" s="90"/>
      <c r="AA37" s="91">
        <f>IF(roundUp,ROUNDUP(Q37*W37,0),IF(roundDown,ROUNDDOWN(Q37*W37,0),ROUND(Q37*W37,0)))</f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206"/>
      <c r="R38" s="207"/>
      <c r="S38" s="208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209"/>
      <c r="R39" s="210"/>
      <c r="S39" s="211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206"/>
      <c r="R40" s="207"/>
      <c r="S40" s="208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209"/>
      <c r="R41" s="210"/>
      <c r="S41" s="211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206"/>
      <c r="R42" s="207"/>
      <c r="S42" s="208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209"/>
      <c r="R43" s="210"/>
      <c r="S43" s="211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206"/>
      <c r="R44" s="207"/>
      <c r="S44" s="208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209"/>
      <c r="R45" s="210"/>
      <c r="S45" s="211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206"/>
      <c r="R46" s="207"/>
      <c r="S46" s="208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209"/>
      <c r="R47" s="210"/>
      <c r="S47" s="211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206"/>
      <c r="R48" s="207"/>
      <c r="S48" s="208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209"/>
      <c r="R49" s="210"/>
      <c r="S49" s="211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206"/>
      <c r="R50" s="207"/>
      <c r="S50" s="208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209"/>
      <c r="R51" s="210"/>
      <c r="S51" s="211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206"/>
      <c r="R52" s="207"/>
      <c r="S52" s="208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215"/>
      <c r="R53" s="216"/>
      <c r="S53" s="217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40000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B55" s="101" t="s">
        <v>53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W55" s="173" t="s">
        <v>51</v>
      </c>
      <c r="X55" s="174"/>
      <c r="Y55" s="174"/>
      <c r="Z55" s="175"/>
      <c r="AA55" s="40">
        <v>4000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B56" s="218" t="s">
        <v>157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W56" s="173" t="s">
        <v>52</v>
      </c>
      <c r="X56" s="174"/>
      <c r="Y56" s="174"/>
      <c r="Z56" s="175"/>
      <c r="AA56" s="40">
        <f>SUM(AA54:AA55)</f>
        <v>44000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AT57" s="1"/>
      <c r="AU57" s="1"/>
    </row>
    <row r="58" spans="2:47" ht="12.75" customHeight="1">
      <c r="AT58" s="1"/>
      <c r="AU58" s="1"/>
    </row>
    <row r="59" spans="2:47" ht="6" customHeight="1">
      <c r="AT59" s="1"/>
      <c r="AU59" s="1"/>
    </row>
    <row r="60" spans="2:47" ht="12.4" hidden="1" customHeight="1"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B56:N56"/>
    <mergeCell ref="B55:N55"/>
    <mergeCell ref="AG53:AM53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</mergeCells>
  <phoneticPr fontId="1"/>
  <dataValidations count="7">
    <dataValidation type="list" allowBlank="1" showInputMessage="1" showErrorMessage="1" sqref="AU6" xr:uid="{B7711285-3B75-401F-AE78-836900670240}">
      <formula1>$AV$6:$AX$6</formula1>
    </dataValidation>
    <dataValidation type="list" allowBlank="1" showInputMessage="1" showErrorMessage="1" sqref="AU9" xr:uid="{B7F56D30-0DDA-437B-8984-B727742E3A9D}">
      <formula1>$AV$9:$AX$9</formula1>
    </dataValidation>
    <dataValidation type="whole" imeMode="off" allowBlank="1" showInputMessage="1" showErrorMessage="1" sqref="BD17 AU11 AU17 AU21" xr:uid="{18130FCF-6669-4C2C-A999-27A82292BB81}">
      <formula1>1970</formula1>
      <formula2>2100</formula2>
    </dataValidation>
    <dataValidation type="whole" imeMode="off" allowBlank="1" showInputMessage="1" showErrorMessage="1" sqref="BD18 AU12 AU18 AU22" xr:uid="{E7CD20DF-744A-41D7-8FEB-6170F61EC1FF}">
      <formula1>1</formula1>
      <formula2>12</formula2>
    </dataValidation>
    <dataValidation type="whole" imeMode="off" allowBlank="1" showInputMessage="1" showErrorMessage="1" sqref="BD19 AU13 AU19 AU23" xr:uid="{5FD805DB-3910-4A19-B558-03733437058A}">
      <formula1>1</formula1>
      <formula2>31</formula2>
    </dataValidation>
    <dataValidation imeMode="on" allowBlank="1" showInputMessage="1" showErrorMessage="1" sqref="B8:S12 Z9:AM13 C15:Y15 K21:AF23 K25:Y25 B29:P53 T29:V53 AG29:AM53" xr:uid="{6B080401-CA3A-43AC-B31C-AADD1CACE428}"/>
    <dataValidation imeMode="off" allowBlank="1" showInputMessage="1" showErrorMessage="1" sqref="AU7 AU15 Q29:S53 W29:Z53" xr:uid="{FAC72484-7CCB-442A-AE4C-F6EC76C2EA53}"/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DC56-9EDD-4BC1-BBFD-0D32B937B96B}">
  <dimension ref="B2:BE71"/>
  <sheetViews>
    <sheetView showGridLines="0" tabSelected="1" topLeftCell="A34" zoomScaleNormal="100" zoomScaleSheetLayoutView="100" workbookViewId="0">
      <selection activeCell="AT55" sqref="AT55"/>
    </sheetView>
  </sheetViews>
  <sheetFormatPr defaultColWidth="8.85546875" defaultRowHeight="13.15"/>
  <cols>
    <col min="1" max="45" width="2.28515625" style="1" customWidth="1"/>
    <col min="46" max="46" width="16.28515625" style="2" bestFit="1" customWidth="1"/>
    <col min="47" max="47" width="13.28515625" style="2" customWidth="1"/>
    <col min="48" max="48" width="6" style="1" hidden="1" customWidth="1"/>
    <col min="49" max="49" width="4" style="1" hidden="1" customWidth="1"/>
    <col min="50" max="50" width="5.7109375" style="1" hidden="1" customWidth="1"/>
    <col min="51" max="51" width="6.42578125" style="1" hidden="1" customWidth="1"/>
    <col min="52" max="52" width="8.42578125" style="1" hidden="1" customWidth="1"/>
    <col min="53" max="53" width="2.42578125" style="1" hidden="1" customWidth="1"/>
    <col min="54" max="54" width="2.7109375" style="1" customWidth="1"/>
    <col min="55" max="55" width="16.28515625" style="1" bestFit="1" customWidth="1"/>
    <col min="56" max="56" width="13.28515625" style="1" customWidth="1"/>
    <col min="57" max="57" width="2.42578125" style="1" customWidth="1"/>
    <col min="58" max="16384" width="8.85546875" style="1"/>
  </cols>
  <sheetData>
    <row r="2" spans="2:57" ht="12.75" customHeight="1" thickBot="1">
      <c r="P2" s="100" t="s">
        <v>0</v>
      </c>
      <c r="Q2" s="100"/>
      <c r="R2" s="100"/>
      <c r="S2" s="100"/>
      <c r="T2" s="100"/>
      <c r="U2" s="100"/>
      <c r="V2" s="100"/>
      <c r="W2" s="100"/>
      <c r="X2" s="100"/>
      <c r="Y2" s="100"/>
    </row>
    <row r="3" spans="2:57" ht="3.75" customHeight="1" thickBo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Q3" s="5"/>
      <c r="AR3" s="6"/>
      <c r="AS3" s="6"/>
      <c r="AT3" s="18"/>
      <c r="AU3" s="18"/>
      <c r="AV3" s="6"/>
      <c r="AW3" s="6"/>
      <c r="AX3" s="6"/>
      <c r="AY3" s="6"/>
      <c r="AZ3" s="6"/>
      <c r="BA3" s="6"/>
      <c r="BB3" s="6"/>
      <c r="BC3" s="6"/>
      <c r="BD3" s="6"/>
      <c r="BE3" s="7"/>
    </row>
    <row r="4" spans="2:57" ht="12.7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Q4" s="8"/>
      <c r="AT4" s="101" t="s">
        <v>1</v>
      </c>
      <c r="AU4" s="101"/>
      <c r="AV4" s="6"/>
      <c r="AW4" s="6"/>
      <c r="AX4" s="6"/>
      <c r="AY4" s="6"/>
      <c r="AZ4" s="6"/>
      <c r="BA4" s="6"/>
      <c r="BE4" s="9"/>
    </row>
    <row r="5" spans="2:57" ht="15.75" customHeight="1">
      <c r="B5" s="102" t="s">
        <v>164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0"/>
      <c r="N5" s="20"/>
      <c r="X5" s="20"/>
      <c r="AC5" s="103">
        <f>DATE(printYear,printMonth,printDay)</f>
        <v>46127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Q5" s="8"/>
      <c r="AT5" s="101"/>
      <c r="AU5" s="101"/>
      <c r="BE5" s="9"/>
    </row>
    <row r="6" spans="2:57" ht="12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AQ6" s="8"/>
      <c r="AT6" s="19" t="s">
        <v>2</v>
      </c>
      <c r="AU6" s="4" t="s">
        <v>3</v>
      </c>
      <c r="AV6" s="1" t="s">
        <v>4</v>
      </c>
      <c r="AW6" s="1" t="s">
        <v>3</v>
      </c>
      <c r="AX6" s="1" t="s">
        <v>5</v>
      </c>
      <c r="AY6" s="1">
        <f>IF(taxType=AV6,1,0)</f>
        <v>0</v>
      </c>
      <c r="AZ6" s="1">
        <f>IF(taxType=AW6,1,0)</f>
        <v>1</v>
      </c>
      <c r="BA6" s="1">
        <f>IF(taxType=AX6,1,0)</f>
        <v>0</v>
      </c>
      <c r="BE6" s="9"/>
    </row>
    <row r="7" spans="2:57" ht="15.75" customHeight="1">
      <c r="AQ7" s="8"/>
      <c r="AT7" s="19" t="s">
        <v>6</v>
      </c>
      <c r="AU7" s="4">
        <v>10</v>
      </c>
      <c r="BE7" s="9"/>
    </row>
    <row r="8" spans="2:57" ht="15.75" customHeight="1">
      <c r="B8" s="104" t="s">
        <v>158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Y8" s="21"/>
      <c r="Z8" s="21"/>
      <c r="AQ8" s="8"/>
      <c r="AT8" s="1"/>
      <c r="AU8" s="1"/>
      <c r="BE8" s="9"/>
    </row>
    <row r="9" spans="2:57" ht="15.75" customHeight="1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Y9" s="21"/>
      <c r="Z9" s="105" t="s">
        <v>8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Q9" s="8"/>
      <c r="AT9" s="19" t="s">
        <v>9</v>
      </c>
      <c r="AU9" s="4" t="s">
        <v>10</v>
      </c>
      <c r="AV9" s="1" t="s">
        <v>10</v>
      </c>
      <c r="AW9" s="1" t="s">
        <v>11</v>
      </c>
      <c r="AX9" s="1" t="s">
        <v>12</v>
      </c>
      <c r="AY9" s="1">
        <f>IF(roundType=AV9,1,0)</f>
        <v>1</v>
      </c>
      <c r="AZ9" s="1">
        <f>IF(roundType=AW9,1,0)</f>
        <v>0</v>
      </c>
      <c r="BA9" s="1">
        <f>IF(roundType=AX9,1,0)</f>
        <v>0</v>
      </c>
      <c r="BE9" s="9"/>
    </row>
    <row r="10" spans="2:57" ht="12.75" customHeight="1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Y10" s="21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3"/>
      <c r="AQ10" s="8"/>
      <c r="BE10" s="9"/>
    </row>
    <row r="11" spans="2:57" ht="15.75" customHeight="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Y11" s="21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3"/>
      <c r="AQ11" s="8"/>
      <c r="AT11" s="19" t="s">
        <v>13</v>
      </c>
      <c r="AU11" s="4">
        <v>2026</v>
      </c>
      <c r="BE11" s="9"/>
    </row>
    <row r="12" spans="2:57" ht="12.75" customHeight="1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Y12" s="21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3"/>
      <c r="AQ12" s="8"/>
      <c r="AT12" s="19" t="s">
        <v>14</v>
      </c>
      <c r="AU12" s="4">
        <v>4</v>
      </c>
      <c r="BE12" s="9"/>
    </row>
    <row r="13" spans="2:57" ht="12.75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3"/>
      <c r="AQ13" s="8"/>
      <c r="AT13" s="19" t="s">
        <v>15</v>
      </c>
      <c r="AU13" s="4">
        <v>15</v>
      </c>
      <c r="BE13" s="9"/>
    </row>
    <row r="14" spans="2:57" ht="12.75" customHeight="1">
      <c r="AB14" s="3"/>
      <c r="AC14" s="3"/>
      <c r="AD14" s="3"/>
      <c r="AN14" s="3"/>
      <c r="AQ14" s="8"/>
      <c r="AT14" s="1"/>
      <c r="AU14" s="1"/>
      <c r="BE14" s="9"/>
    </row>
    <row r="15" spans="2:57" ht="15.75" customHeight="1">
      <c r="C15" s="119" t="s">
        <v>16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AB15" s="3"/>
      <c r="AC15" s="3"/>
      <c r="AD15" s="3"/>
      <c r="AQ15" s="8"/>
      <c r="AT15" s="19" t="s">
        <v>17</v>
      </c>
      <c r="AU15" s="4"/>
      <c r="BE15" s="9"/>
    </row>
    <row r="16" spans="2:57" ht="12.75" customHeight="1">
      <c r="AB16" s="3"/>
      <c r="AC16" s="3"/>
      <c r="AD16" s="3"/>
      <c r="AQ16" s="8"/>
      <c r="BE16" s="9"/>
    </row>
    <row r="17" spans="2:57" ht="12.75" customHeight="1">
      <c r="C17" s="191" t="s">
        <v>18</v>
      </c>
      <c r="D17" s="191"/>
      <c r="E17" s="191"/>
      <c r="F17" s="191"/>
      <c r="G17" s="191"/>
      <c r="H17" s="191"/>
      <c r="I17" s="191"/>
      <c r="J17" s="191"/>
      <c r="K17" s="191"/>
      <c r="L17" s="194">
        <f>IF(exclusive,SUM(AA54:AF55),AA54)</f>
        <v>33000</v>
      </c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AB17" s="3"/>
      <c r="AC17" s="3"/>
      <c r="AD17" s="3"/>
      <c r="AQ17" s="8"/>
      <c r="AT17" s="19" t="s">
        <v>20</v>
      </c>
      <c r="AU17" s="4"/>
      <c r="BC17" s="19" t="s">
        <v>21</v>
      </c>
      <c r="BD17" s="4"/>
      <c r="BE17" s="9"/>
    </row>
    <row r="18" spans="2:57" ht="12.75" customHeight="1">
      <c r="C18" s="192"/>
      <c r="D18" s="192"/>
      <c r="E18" s="192"/>
      <c r="F18" s="192"/>
      <c r="G18" s="192"/>
      <c r="H18" s="192"/>
      <c r="I18" s="192"/>
      <c r="J18" s="192"/>
      <c r="K18" s="192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B18" s="3"/>
      <c r="AC18" s="3"/>
      <c r="AD18" s="3"/>
      <c r="AQ18" s="8"/>
      <c r="AT18" s="19" t="s">
        <v>22</v>
      </c>
      <c r="AU18" s="4"/>
      <c r="BC18" s="19" t="s">
        <v>23</v>
      </c>
      <c r="BD18" s="4"/>
      <c r="BE18" s="9"/>
    </row>
    <row r="19" spans="2:57" ht="12.75" customHeight="1">
      <c r="C19" s="193"/>
      <c r="D19" s="193"/>
      <c r="E19" s="193"/>
      <c r="F19" s="193"/>
      <c r="G19" s="193"/>
      <c r="H19" s="193"/>
      <c r="I19" s="193"/>
      <c r="J19" s="193"/>
      <c r="K19" s="193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AB19" s="3"/>
      <c r="AC19" s="3"/>
      <c r="AD19" s="3"/>
      <c r="AQ19" s="8"/>
      <c r="AT19" s="19" t="s">
        <v>24</v>
      </c>
      <c r="AU19" s="4"/>
      <c r="BC19" s="19" t="s">
        <v>25</v>
      </c>
      <c r="BD19" s="4"/>
      <c r="BE19" s="9"/>
    </row>
    <row r="20" spans="2:57" ht="7.7" customHeight="1">
      <c r="AB20" s="3"/>
      <c r="AC20" s="3"/>
      <c r="AD20" s="3"/>
      <c r="AQ20" s="8"/>
      <c r="BE20" s="9"/>
    </row>
    <row r="21" spans="2:57" ht="15.75" customHeight="1">
      <c r="D21" s="138" t="s">
        <v>26</v>
      </c>
      <c r="E21" s="138"/>
      <c r="F21" s="138"/>
      <c r="G21" s="138"/>
      <c r="H21" s="138"/>
      <c r="I21" s="138"/>
      <c r="J21" s="15" t="s">
        <v>27</v>
      </c>
      <c r="K21" s="139" t="s">
        <v>165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Q21" s="8"/>
      <c r="AT21" s="19" t="s">
        <v>29</v>
      </c>
      <c r="AU21" s="4">
        <v>2026</v>
      </c>
      <c r="BE21" s="9"/>
    </row>
    <row r="22" spans="2:57" ht="15.75" customHeight="1">
      <c r="D22" s="106" t="s">
        <v>30</v>
      </c>
      <c r="E22" s="106"/>
      <c r="F22" s="106"/>
      <c r="G22" s="106"/>
      <c r="H22" s="106"/>
      <c r="I22" s="106"/>
      <c r="J22" s="16" t="s">
        <v>27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Q22" s="8"/>
      <c r="AT22" s="19" t="s">
        <v>32</v>
      </c>
      <c r="AU22" s="4">
        <v>12</v>
      </c>
      <c r="BE22" s="9"/>
    </row>
    <row r="23" spans="2:57" ht="15.75" customHeight="1">
      <c r="D23" s="106" t="s">
        <v>33</v>
      </c>
      <c r="E23" s="106"/>
      <c r="F23" s="106"/>
      <c r="G23" s="106"/>
      <c r="H23" s="106"/>
      <c r="I23" s="106"/>
      <c r="J23" s="16" t="s">
        <v>27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Q23" s="8"/>
      <c r="AT23" s="19" t="s">
        <v>34</v>
      </c>
      <c r="AU23" s="4">
        <v>31</v>
      </c>
      <c r="BE23" s="9"/>
    </row>
    <row r="24" spans="2:57" ht="15.75" customHeight="1">
      <c r="D24" s="106" t="s">
        <v>35</v>
      </c>
      <c r="E24" s="106"/>
      <c r="F24" s="106"/>
      <c r="G24" s="106"/>
      <c r="H24" s="106"/>
      <c r="I24" s="106"/>
      <c r="J24" s="16" t="s">
        <v>27</v>
      </c>
      <c r="K24" s="186" t="str">
        <f>IF(AND(nohinYear&lt;&gt;"",nohinMonth&lt;&gt;"",nohinDay&lt;&gt;""),DATE(nohinYear,nohinMonth,nohinDay),"")</f>
        <v/>
      </c>
      <c r="L24" s="186"/>
      <c r="M24" s="186"/>
      <c r="N24" s="186"/>
      <c r="O24" s="186"/>
      <c r="P24" s="186"/>
      <c r="Q24" s="186"/>
      <c r="R24" s="27" t="s">
        <v>36</v>
      </c>
      <c r="S24" s="187" t="str">
        <f>IF(AND(nohinYear2&lt;&gt;"",nohinMonth2&lt;&gt;"",nohinDay2&lt;&gt;""),DATE(nohinYear2,nohinMonth2,nohinDay2),"")</f>
        <v/>
      </c>
      <c r="T24" s="187"/>
      <c r="U24" s="187"/>
      <c r="V24" s="187"/>
      <c r="W24" s="187"/>
      <c r="X24" s="187"/>
      <c r="Y24" s="187"/>
      <c r="AH24" s="188"/>
      <c r="AI24" s="188"/>
      <c r="AJ24" s="188"/>
      <c r="AK24" s="188"/>
      <c r="AL24" s="188"/>
      <c r="AM24" s="188"/>
      <c r="AQ24" s="8"/>
      <c r="AT24" s="1"/>
      <c r="AU24" s="1"/>
      <c r="BE24" s="9"/>
    </row>
    <row r="25" spans="2:57" ht="15.75" customHeight="1" thickBot="1">
      <c r="D25" s="106" t="s">
        <v>37</v>
      </c>
      <c r="E25" s="106"/>
      <c r="F25" s="106"/>
      <c r="G25" s="106"/>
      <c r="H25" s="106"/>
      <c r="I25" s="106"/>
      <c r="J25" s="16" t="s">
        <v>27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AH25" s="189"/>
      <c r="AI25" s="189"/>
      <c r="AJ25" s="189"/>
      <c r="AK25" s="189"/>
      <c r="AL25" s="189"/>
      <c r="AM25" s="189"/>
      <c r="AQ25" s="10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</row>
    <row r="26" spans="2:57" ht="15.75" customHeight="1">
      <c r="D26" s="106" t="s">
        <v>38</v>
      </c>
      <c r="E26" s="106"/>
      <c r="F26" s="106"/>
      <c r="G26" s="106"/>
      <c r="H26" s="106"/>
      <c r="I26" s="106"/>
      <c r="J26" s="16" t="s">
        <v>27</v>
      </c>
      <c r="K26" s="108">
        <f>DATE(kigenYear,kigenMonth,kigenDay)</f>
        <v>46387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AH26" s="190"/>
      <c r="AI26" s="190"/>
      <c r="AJ26" s="190"/>
      <c r="AK26" s="190"/>
      <c r="AL26" s="190"/>
      <c r="AM26" s="190"/>
    </row>
    <row r="27" spans="2:57" ht="12.75" customHeight="1">
      <c r="Y27" s="3"/>
      <c r="Z27" s="3"/>
      <c r="AA27" s="3"/>
      <c r="AB27" s="3"/>
      <c r="AC27" s="3"/>
      <c r="AD27" s="3"/>
      <c r="AE27" s="3"/>
      <c r="AF27" s="3"/>
      <c r="AG27" s="3"/>
      <c r="AT27" s="1"/>
      <c r="AU27" s="1"/>
    </row>
    <row r="28" spans="2:57" ht="12.75" customHeight="1">
      <c r="B28" s="161" t="s">
        <v>39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3"/>
      <c r="Q28" s="173" t="s">
        <v>40</v>
      </c>
      <c r="R28" s="174"/>
      <c r="S28" s="175"/>
      <c r="T28" s="173" t="s">
        <v>41</v>
      </c>
      <c r="U28" s="38"/>
      <c r="V28" s="175"/>
      <c r="W28" s="173" t="str">
        <f>IF(inclusive,"単価(税込)",IF(exclusive,"単価(税抜)","単価"))</f>
        <v>単価(税抜)</v>
      </c>
      <c r="X28" s="174"/>
      <c r="Y28" s="174"/>
      <c r="Z28" s="175"/>
      <c r="AA28" s="173" t="str">
        <f>IF(inclusive,"金額(税込)",IF(exclusive,"金額(税抜)","金額"))</f>
        <v>金額(税抜)</v>
      </c>
      <c r="AB28" s="174"/>
      <c r="AC28" s="174"/>
      <c r="AD28" s="174"/>
      <c r="AE28" s="174"/>
      <c r="AF28" s="175"/>
      <c r="AG28" s="197" t="s">
        <v>42</v>
      </c>
      <c r="AH28" s="198"/>
      <c r="AI28" s="198"/>
      <c r="AJ28" s="198"/>
      <c r="AK28" s="198"/>
      <c r="AL28" s="198"/>
      <c r="AM28" s="199"/>
      <c r="AT28" s="1"/>
      <c r="AU28" s="1"/>
    </row>
    <row r="29" spans="2:57" ht="12.75" customHeight="1">
      <c r="B29" s="143" t="s">
        <v>166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5"/>
      <c r="Q29" s="146"/>
      <c r="R29" s="147"/>
      <c r="S29" s="148"/>
      <c r="T29" s="149"/>
      <c r="U29" s="150"/>
      <c r="V29" s="151"/>
      <c r="W29" s="152"/>
      <c r="X29" s="153"/>
      <c r="Y29" s="153"/>
      <c r="Z29" s="154"/>
      <c r="AA29" s="155">
        <f t="shared" ref="AA29:AA53" si="0">IF(roundUp,ROUNDUP(Q29*W29,0),IF(roundDown,ROUNDDOWN(Q29*W29,0),ROUND(Q29*W29,0)))</f>
        <v>0</v>
      </c>
      <c r="AB29" s="156"/>
      <c r="AC29" s="156"/>
      <c r="AD29" s="156"/>
      <c r="AE29" s="156"/>
      <c r="AF29" s="157"/>
      <c r="AG29" s="158"/>
      <c r="AH29" s="159"/>
      <c r="AI29" s="159"/>
      <c r="AJ29" s="159"/>
      <c r="AK29" s="159"/>
      <c r="AL29" s="159"/>
      <c r="AM29" s="160"/>
      <c r="AT29" s="1"/>
      <c r="AU29" s="1"/>
    </row>
    <row r="30" spans="2:57" ht="12.75" customHeight="1"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64"/>
      <c r="R30" s="65"/>
      <c r="S30" s="66"/>
      <c r="T30" s="67"/>
      <c r="U30" s="68"/>
      <c r="V30" s="69"/>
      <c r="W30" s="70"/>
      <c r="X30" s="71"/>
      <c r="Y30" s="71"/>
      <c r="Z30" s="72"/>
      <c r="AA30" s="73">
        <f t="shared" si="0"/>
        <v>0</v>
      </c>
      <c r="AB30" s="74"/>
      <c r="AC30" s="74"/>
      <c r="AD30" s="74"/>
      <c r="AE30" s="74"/>
      <c r="AF30" s="75"/>
      <c r="AG30" s="76"/>
      <c r="AH30" s="77"/>
      <c r="AI30" s="77"/>
      <c r="AJ30" s="77"/>
      <c r="AK30" s="77"/>
      <c r="AL30" s="77"/>
      <c r="AM30" s="78"/>
      <c r="AT30" s="1"/>
      <c r="AU30" s="1"/>
    </row>
    <row r="31" spans="2:57" ht="12.75" customHeight="1">
      <c r="B31" s="97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/>
      <c r="Q31" s="82"/>
      <c r="R31" s="83"/>
      <c r="S31" s="84"/>
      <c r="T31" s="85"/>
      <c r="U31" s="86"/>
      <c r="V31" s="87"/>
      <c r="W31" s="88"/>
      <c r="X31" s="89"/>
      <c r="Y31" s="89"/>
      <c r="Z31" s="90"/>
      <c r="AA31" s="91">
        <f t="shared" si="0"/>
        <v>0</v>
      </c>
      <c r="AB31" s="92"/>
      <c r="AC31" s="92"/>
      <c r="AD31" s="92"/>
      <c r="AE31" s="92"/>
      <c r="AF31" s="93"/>
      <c r="AG31" s="94"/>
      <c r="AH31" s="95"/>
      <c r="AI31" s="95"/>
      <c r="AJ31" s="95"/>
      <c r="AK31" s="95"/>
      <c r="AL31" s="95"/>
      <c r="AM31" s="96"/>
      <c r="AT31" s="1"/>
      <c r="AU31" s="1"/>
    </row>
    <row r="32" spans="2:57" ht="12.75" customHeight="1">
      <c r="B32" s="61" t="s">
        <v>167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64">
        <v>6</v>
      </c>
      <c r="R32" s="65"/>
      <c r="S32" s="66"/>
      <c r="T32" s="67" t="s">
        <v>168</v>
      </c>
      <c r="U32" s="68"/>
      <c r="V32" s="69"/>
      <c r="W32" s="70">
        <v>5000</v>
      </c>
      <c r="X32" s="71"/>
      <c r="Y32" s="71"/>
      <c r="Z32" s="72"/>
      <c r="AA32" s="73">
        <f t="shared" si="0"/>
        <v>30000</v>
      </c>
      <c r="AB32" s="74"/>
      <c r="AC32" s="74"/>
      <c r="AD32" s="74"/>
      <c r="AE32" s="74"/>
      <c r="AF32" s="75"/>
      <c r="AG32" s="76"/>
      <c r="AH32" s="77"/>
      <c r="AI32" s="77"/>
      <c r="AJ32" s="77"/>
      <c r="AK32" s="77"/>
      <c r="AL32" s="77"/>
      <c r="AM32" s="78"/>
      <c r="AT32" s="1"/>
      <c r="AU32" s="1"/>
    </row>
    <row r="33" spans="2:47" ht="12.75" customHeight="1"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/>
      <c r="Q33" s="82"/>
      <c r="R33" s="83"/>
      <c r="S33" s="84"/>
      <c r="T33" s="85"/>
      <c r="U33" s="86"/>
      <c r="V33" s="87"/>
      <c r="W33" s="88"/>
      <c r="X33" s="89"/>
      <c r="Y33" s="89"/>
      <c r="Z33" s="90"/>
      <c r="AA33" s="91">
        <f t="shared" si="0"/>
        <v>0</v>
      </c>
      <c r="AB33" s="92"/>
      <c r="AC33" s="92"/>
      <c r="AD33" s="92"/>
      <c r="AE33" s="92"/>
      <c r="AF33" s="93"/>
      <c r="AG33" s="94"/>
      <c r="AH33" s="95"/>
      <c r="AI33" s="95"/>
      <c r="AJ33" s="95"/>
      <c r="AK33" s="95"/>
      <c r="AL33" s="95"/>
      <c r="AM33" s="96"/>
      <c r="AT33" s="1"/>
      <c r="AU33" s="1"/>
    </row>
    <row r="34" spans="2:47" ht="12.75" customHeight="1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64"/>
      <c r="R34" s="65"/>
      <c r="S34" s="66"/>
      <c r="T34" s="67"/>
      <c r="U34" s="68"/>
      <c r="V34" s="69"/>
      <c r="W34" s="70"/>
      <c r="X34" s="71"/>
      <c r="Y34" s="71"/>
      <c r="Z34" s="72"/>
      <c r="AA34" s="73">
        <f t="shared" si="0"/>
        <v>0</v>
      </c>
      <c r="AB34" s="74"/>
      <c r="AC34" s="74"/>
      <c r="AD34" s="74"/>
      <c r="AE34" s="74"/>
      <c r="AF34" s="75"/>
      <c r="AG34" s="76"/>
      <c r="AH34" s="77"/>
      <c r="AI34" s="77"/>
      <c r="AJ34" s="77"/>
      <c r="AK34" s="77"/>
      <c r="AL34" s="77"/>
      <c r="AM34" s="78"/>
      <c r="AT34" s="1"/>
      <c r="AU34" s="1"/>
    </row>
    <row r="35" spans="2:47" ht="12.75" customHeight="1"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82"/>
      <c r="R35" s="83"/>
      <c r="S35" s="84"/>
      <c r="T35" s="85"/>
      <c r="U35" s="86"/>
      <c r="V35" s="87"/>
      <c r="W35" s="88"/>
      <c r="X35" s="89"/>
      <c r="Y35" s="89"/>
      <c r="Z35" s="90"/>
      <c r="AA35" s="91">
        <f t="shared" si="0"/>
        <v>0</v>
      </c>
      <c r="AB35" s="92"/>
      <c r="AC35" s="92"/>
      <c r="AD35" s="92"/>
      <c r="AE35" s="92"/>
      <c r="AF35" s="93"/>
      <c r="AG35" s="94"/>
      <c r="AH35" s="95"/>
      <c r="AI35" s="95"/>
      <c r="AJ35" s="95"/>
      <c r="AK35" s="95"/>
      <c r="AL35" s="95"/>
      <c r="AM35" s="96"/>
      <c r="AT35" s="1"/>
      <c r="AU35" s="1"/>
    </row>
    <row r="36" spans="2:47" ht="12.75" customHeight="1"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  <c r="Q36" s="64"/>
      <c r="R36" s="65"/>
      <c r="S36" s="66"/>
      <c r="T36" s="67"/>
      <c r="U36" s="68"/>
      <c r="V36" s="69"/>
      <c r="W36" s="70"/>
      <c r="X36" s="71"/>
      <c r="Y36" s="71"/>
      <c r="Z36" s="72"/>
      <c r="AA36" s="73">
        <f>IF(roundUp,ROUNDUP(Q36*W36,0),IF(roundDown,ROUNDDOWN(Q36*W36,0),ROUND(Q36*W36,0)))</f>
        <v>0</v>
      </c>
      <c r="AB36" s="74"/>
      <c r="AC36" s="74"/>
      <c r="AD36" s="74"/>
      <c r="AE36" s="74"/>
      <c r="AF36" s="75"/>
      <c r="AG36" s="76"/>
      <c r="AH36" s="77"/>
      <c r="AI36" s="77"/>
      <c r="AJ36" s="77"/>
      <c r="AK36" s="77"/>
      <c r="AL36" s="77"/>
      <c r="AM36" s="78"/>
      <c r="AT36" s="1"/>
      <c r="AU36" s="1"/>
    </row>
    <row r="37" spans="2:47" ht="12.75" customHeight="1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2"/>
      <c r="R37" s="83"/>
      <c r="S37" s="84"/>
      <c r="T37" s="85"/>
      <c r="U37" s="86"/>
      <c r="V37" s="87"/>
      <c r="W37" s="88"/>
      <c r="X37" s="89"/>
      <c r="Y37" s="89"/>
      <c r="Z37" s="90"/>
      <c r="AA37" s="91">
        <f>IF(roundUp,ROUNDUP(Q37*W37,0),IF(roundDown,ROUNDDOWN(Q37*W37,0),ROUND(Q37*W37,0)))</f>
        <v>0</v>
      </c>
      <c r="AB37" s="92"/>
      <c r="AC37" s="92"/>
      <c r="AD37" s="92"/>
      <c r="AE37" s="92"/>
      <c r="AF37" s="93"/>
      <c r="AG37" s="94"/>
      <c r="AH37" s="95"/>
      <c r="AI37" s="95"/>
      <c r="AJ37" s="95"/>
      <c r="AK37" s="95"/>
      <c r="AL37" s="95"/>
      <c r="AM37" s="96"/>
    </row>
    <row r="38" spans="2:47" ht="12.75" customHeight="1"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64"/>
      <c r="R38" s="65"/>
      <c r="S38" s="66"/>
      <c r="T38" s="67"/>
      <c r="U38" s="68"/>
      <c r="V38" s="69"/>
      <c r="W38" s="70"/>
      <c r="X38" s="71"/>
      <c r="Y38" s="71"/>
      <c r="Z38" s="72"/>
      <c r="AA38" s="73">
        <f t="shared" si="0"/>
        <v>0</v>
      </c>
      <c r="AB38" s="74"/>
      <c r="AC38" s="74"/>
      <c r="AD38" s="74"/>
      <c r="AE38" s="74"/>
      <c r="AF38" s="75"/>
      <c r="AG38" s="76"/>
      <c r="AH38" s="77"/>
      <c r="AI38" s="77"/>
      <c r="AJ38" s="77"/>
      <c r="AK38" s="77"/>
      <c r="AL38" s="77"/>
      <c r="AM38" s="78"/>
    </row>
    <row r="39" spans="2:47" ht="12.75" customHeight="1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/>
      <c r="Q39" s="82"/>
      <c r="R39" s="83"/>
      <c r="S39" s="84"/>
      <c r="T39" s="85"/>
      <c r="U39" s="86"/>
      <c r="V39" s="87"/>
      <c r="W39" s="88"/>
      <c r="X39" s="89"/>
      <c r="Y39" s="89"/>
      <c r="Z39" s="90"/>
      <c r="AA39" s="91">
        <f t="shared" si="0"/>
        <v>0</v>
      </c>
      <c r="AB39" s="92"/>
      <c r="AC39" s="92"/>
      <c r="AD39" s="92"/>
      <c r="AE39" s="92"/>
      <c r="AF39" s="93"/>
      <c r="AG39" s="94"/>
      <c r="AH39" s="95"/>
      <c r="AI39" s="95"/>
      <c r="AJ39" s="95"/>
      <c r="AK39" s="95"/>
      <c r="AL39" s="95"/>
      <c r="AM39" s="96"/>
    </row>
    <row r="40" spans="2:47" ht="12.75" customHeight="1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  <c r="Q40" s="64"/>
      <c r="R40" s="65"/>
      <c r="S40" s="66"/>
      <c r="T40" s="67"/>
      <c r="U40" s="68"/>
      <c r="V40" s="69"/>
      <c r="W40" s="70"/>
      <c r="X40" s="71"/>
      <c r="Y40" s="71"/>
      <c r="Z40" s="72"/>
      <c r="AA40" s="73">
        <f t="shared" si="0"/>
        <v>0</v>
      </c>
      <c r="AB40" s="74"/>
      <c r="AC40" s="74"/>
      <c r="AD40" s="74"/>
      <c r="AE40" s="74"/>
      <c r="AF40" s="75"/>
      <c r="AG40" s="76"/>
      <c r="AH40" s="77"/>
      <c r="AI40" s="77"/>
      <c r="AJ40" s="77"/>
      <c r="AK40" s="77"/>
      <c r="AL40" s="77"/>
      <c r="AM40" s="78"/>
    </row>
    <row r="41" spans="2:47" ht="12.75" customHeight="1"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/>
      <c r="Q41" s="82"/>
      <c r="R41" s="83"/>
      <c r="S41" s="84"/>
      <c r="T41" s="85"/>
      <c r="U41" s="86"/>
      <c r="V41" s="87"/>
      <c r="W41" s="88"/>
      <c r="X41" s="89"/>
      <c r="Y41" s="89"/>
      <c r="Z41" s="90"/>
      <c r="AA41" s="91">
        <f t="shared" si="0"/>
        <v>0</v>
      </c>
      <c r="AB41" s="92"/>
      <c r="AC41" s="92"/>
      <c r="AD41" s="92"/>
      <c r="AE41" s="92"/>
      <c r="AF41" s="93"/>
      <c r="AG41" s="94"/>
      <c r="AH41" s="95"/>
      <c r="AI41" s="95"/>
      <c r="AJ41" s="95"/>
      <c r="AK41" s="95"/>
      <c r="AL41" s="95"/>
      <c r="AM41" s="96"/>
    </row>
    <row r="42" spans="2:47" ht="12.75" customHeight="1"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Q42" s="64"/>
      <c r="R42" s="65"/>
      <c r="S42" s="66"/>
      <c r="T42" s="67"/>
      <c r="U42" s="68"/>
      <c r="V42" s="69"/>
      <c r="W42" s="70"/>
      <c r="X42" s="71"/>
      <c r="Y42" s="71"/>
      <c r="Z42" s="72"/>
      <c r="AA42" s="73">
        <f t="shared" si="0"/>
        <v>0</v>
      </c>
      <c r="AB42" s="74"/>
      <c r="AC42" s="74"/>
      <c r="AD42" s="74"/>
      <c r="AE42" s="74"/>
      <c r="AF42" s="75"/>
      <c r="AG42" s="76"/>
      <c r="AH42" s="77"/>
      <c r="AI42" s="77"/>
      <c r="AJ42" s="77"/>
      <c r="AK42" s="77"/>
      <c r="AL42" s="77"/>
      <c r="AM42" s="78"/>
    </row>
    <row r="43" spans="2:47" ht="12.75" customHeight="1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82"/>
      <c r="R43" s="83"/>
      <c r="S43" s="84"/>
      <c r="T43" s="85"/>
      <c r="U43" s="86"/>
      <c r="V43" s="87"/>
      <c r="W43" s="88"/>
      <c r="X43" s="89"/>
      <c r="Y43" s="89"/>
      <c r="Z43" s="90"/>
      <c r="AA43" s="91">
        <f t="shared" si="0"/>
        <v>0</v>
      </c>
      <c r="AB43" s="92"/>
      <c r="AC43" s="92"/>
      <c r="AD43" s="92"/>
      <c r="AE43" s="92"/>
      <c r="AF43" s="93"/>
      <c r="AG43" s="94"/>
      <c r="AH43" s="95"/>
      <c r="AI43" s="95"/>
      <c r="AJ43" s="95"/>
      <c r="AK43" s="95"/>
      <c r="AL43" s="95"/>
      <c r="AM43" s="96"/>
    </row>
    <row r="44" spans="2:47" ht="12.75" customHeight="1"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4"/>
      <c r="R44" s="65"/>
      <c r="S44" s="66"/>
      <c r="T44" s="67"/>
      <c r="U44" s="68"/>
      <c r="V44" s="69"/>
      <c r="W44" s="70"/>
      <c r="X44" s="71"/>
      <c r="Y44" s="71"/>
      <c r="Z44" s="72"/>
      <c r="AA44" s="73">
        <f t="shared" si="0"/>
        <v>0</v>
      </c>
      <c r="AB44" s="74"/>
      <c r="AC44" s="74"/>
      <c r="AD44" s="74"/>
      <c r="AE44" s="74"/>
      <c r="AF44" s="75"/>
      <c r="AG44" s="76"/>
      <c r="AH44" s="77"/>
      <c r="AI44" s="77"/>
      <c r="AJ44" s="77"/>
      <c r="AK44" s="77"/>
      <c r="AL44" s="77"/>
      <c r="AM44" s="78"/>
    </row>
    <row r="45" spans="2:47" ht="12.75" customHeight="1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82"/>
      <c r="R45" s="83"/>
      <c r="S45" s="84"/>
      <c r="T45" s="85"/>
      <c r="U45" s="86"/>
      <c r="V45" s="87"/>
      <c r="W45" s="88"/>
      <c r="X45" s="89"/>
      <c r="Y45" s="89"/>
      <c r="Z45" s="90"/>
      <c r="AA45" s="91">
        <f t="shared" si="0"/>
        <v>0</v>
      </c>
      <c r="AB45" s="92"/>
      <c r="AC45" s="92"/>
      <c r="AD45" s="92"/>
      <c r="AE45" s="92"/>
      <c r="AF45" s="93"/>
      <c r="AG45" s="94"/>
      <c r="AH45" s="95"/>
      <c r="AI45" s="95"/>
      <c r="AJ45" s="95"/>
      <c r="AK45" s="95"/>
      <c r="AL45" s="95"/>
      <c r="AM45" s="96"/>
    </row>
    <row r="46" spans="2:47" ht="12.75" customHeight="1"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3"/>
      <c r="Q46" s="64"/>
      <c r="R46" s="65"/>
      <c r="S46" s="66"/>
      <c r="T46" s="67"/>
      <c r="U46" s="68"/>
      <c r="V46" s="69"/>
      <c r="W46" s="70"/>
      <c r="X46" s="71"/>
      <c r="Y46" s="71"/>
      <c r="Z46" s="72"/>
      <c r="AA46" s="73">
        <f t="shared" si="0"/>
        <v>0</v>
      </c>
      <c r="AB46" s="74"/>
      <c r="AC46" s="74"/>
      <c r="AD46" s="74"/>
      <c r="AE46" s="74"/>
      <c r="AF46" s="75"/>
      <c r="AG46" s="76"/>
      <c r="AH46" s="77"/>
      <c r="AI46" s="77"/>
      <c r="AJ46" s="77"/>
      <c r="AK46" s="77"/>
      <c r="AL46" s="77"/>
      <c r="AM46" s="78"/>
    </row>
    <row r="47" spans="2:47" ht="12.75" customHeight="1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1"/>
      <c r="Q47" s="82"/>
      <c r="R47" s="83"/>
      <c r="S47" s="84"/>
      <c r="T47" s="85"/>
      <c r="U47" s="86"/>
      <c r="V47" s="87"/>
      <c r="W47" s="88"/>
      <c r="X47" s="89"/>
      <c r="Y47" s="89"/>
      <c r="Z47" s="90"/>
      <c r="AA47" s="91">
        <f t="shared" si="0"/>
        <v>0</v>
      </c>
      <c r="AB47" s="92"/>
      <c r="AC47" s="92"/>
      <c r="AD47" s="92"/>
      <c r="AE47" s="92"/>
      <c r="AF47" s="93"/>
      <c r="AG47" s="94"/>
      <c r="AH47" s="95"/>
      <c r="AI47" s="95"/>
      <c r="AJ47" s="95"/>
      <c r="AK47" s="95"/>
      <c r="AL47" s="95"/>
      <c r="AM47" s="96"/>
    </row>
    <row r="48" spans="2:47" ht="12.75" customHeight="1"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4"/>
      <c r="R48" s="65"/>
      <c r="S48" s="66"/>
      <c r="T48" s="67"/>
      <c r="U48" s="68"/>
      <c r="V48" s="69"/>
      <c r="W48" s="70"/>
      <c r="X48" s="71"/>
      <c r="Y48" s="71"/>
      <c r="Z48" s="72"/>
      <c r="AA48" s="73">
        <f t="shared" si="0"/>
        <v>0</v>
      </c>
      <c r="AB48" s="74"/>
      <c r="AC48" s="74"/>
      <c r="AD48" s="74"/>
      <c r="AE48" s="74"/>
      <c r="AF48" s="75"/>
      <c r="AG48" s="76"/>
      <c r="AH48" s="77"/>
      <c r="AI48" s="77"/>
      <c r="AJ48" s="77"/>
      <c r="AK48" s="77"/>
      <c r="AL48" s="77"/>
      <c r="AM48" s="78"/>
    </row>
    <row r="49" spans="2:47" ht="12.75" customHeight="1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1"/>
      <c r="Q49" s="82"/>
      <c r="R49" s="83"/>
      <c r="S49" s="84"/>
      <c r="T49" s="85"/>
      <c r="U49" s="86"/>
      <c r="V49" s="87"/>
      <c r="W49" s="88"/>
      <c r="X49" s="89"/>
      <c r="Y49" s="89"/>
      <c r="Z49" s="90"/>
      <c r="AA49" s="91">
        <f t="shared" si="0"/>
        <v>0</v>
      </c>
      <c r="AB49" s="92"/>
      <c r="AC49" s="92"/>
      <c r="AD49" s="92"/>
      <c r="AE49" s="92"/>
      <c r="AF49" s="93"/>
      <c r="AG49" s="94"/>
      <c r="AH49" s="95"/>
      <c r="AI49" s="95"/>
      <c r="AJ49" s="95"/>
      <c r="AK49" s="95"/>
      <c r="AL49" s="95"/>
      <c r="AM49" s="96"/>
    </row>
    <row r="50" spans="2:47" ht="12.75" customHeight="1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64"/>
      <c r="R50" s="65"/>
      <c r="S50" s="66"/>
      <c r="T50" s="67"/>
      <c r="U50" s="68"/>
      <c r="V50" s="69"/>
      <c r="W50" s="70"/>
      <c r="X50" s="71"/>
      <c r="Y50" s="71"/>
      <c r="Z50" s="72"/>
      <c r="AA50" s="73">
        <f t="shared" si="0"/>
        <v>0</v>
      </c>
      <c r="AB50" s="74"/>
      <c r="AC50" s="74"/>
      <c r="AD50" s="74"/>
      <c r="AE50" s="74"/>
      <c r="AF50" s="75"/>
      <c r="AG50" s="76"/>
      <c r="AH50" s="77"/>
      <c r="AI50" s="77"/>
      <c r="AJ50" s="77"/>
      <c r="AK50" s="77"/>
      <c r="AL50" s="77"/>
      <c r="AM50" s="78"/>
      <c r="AT50" s="1"/>
      <c r="AU50" s="1"/>
    </row>
    <row r="51" spans="2:47" ht="12.75" customHeight="1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82"/>
      <c r="R51" s="83"/>
      <c r="S51" s="84"/>
      <c r="T51" s="85"/>
      <c r="U51" s="86"/>
      <c r="V51" s="87"/>
      <c r="W51" s="88"/>
      <c r="X51" s="89"/>
      <c r="Y51" s="89"/>
      <c r="Z51" s="90"/>
      <c r="AA51" s="91">
        <f t="shared" si="0"/>
        <v>0</v>
      </c>
      <c r="AB51" s="92"/>
      <c r="AC51" s="92"/>
      <c r="AD51" s="92"/>
      <c r="AE51" s="92"/>
      <c r="AF51" s="93"/>
      <c r="AG51" s="94"/>
      <c r="AH51" s="95"/>
      <c r="AI51" s="95"/>
      <c r="AJ51" s="95"/>
      <c r="AK51" s="95"/>
      <c r="AL51" s="95"/>
      <c r="AM51" s="96"/>
      <c r="AT51" s="1"/>
      <c r="AU51" s="1"/>
    </row>
    <row r="52" spans="2:47" ht="12.75" customHeight="1"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Q52" s="64"/>
      <c r="R52" s="65"/>
      <c r="S52" s="66"/>
      <c r="T52" s="67"/>
      <c r="U52" s="68"/>
      <c r="V52" s="69"/>
      <c r="W52" s="70"/>
      <c r="X52" s="71"/>
      <c r="Y52" s="71"/>
      <c r="Z52" s="72"/>
      <c r="AA52" s="73">
        <f t="shared" si="0"/>
        <v>0</v>
      </c>
      <c r="AB52" s="74"/>
      <c r="AC52" s="74"/>
      <c r="AD52" s="74"/>
      <c r="AE52" s="74"/>
      <c r="AF52" s="75"/>
      <c r="AG52" s="76"/>
      <c r="AH52" s="77"/>
      <c r="AI52" s="77"/>
      <c r="AJ52" s="77"/>
      <c r="AK52" s="77"/>
      <c r="AL52" s="77"/>
      <c r="AM52" s="78"/>
      <c r="AT52" s="1"/>
      <c r="AU52" s="1"/>
    </row>
    <row r="53" spans="2:47" ht="12.75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5"/>
      <c r="Q53" s="46"/>
      <c r="R53" s="47"/>
      <c r="S53" s="48"/>
      <c r="T53" s="49"/>
      <c r="U53" s="50"/>
      <c r="V53" s="51"/>
      <c r="W53" s="52"/>
      <c r="X53" s="53"/>
      <c r="Y53" s="53"/>
      <c r="Z53" s="54"/>
      <c r="AA53" s="55">
        <f t="shared" si="0"/>
        <v>0</v>
      </c>
      <c r="AB53" s="56"/>
      <c r="AC53" s="56"/>
      <c r="AD53" s="56"/>
      <c r="AE53" s="56"/>
      <c r="AF53" s="57"/>
      <c r="AG53" s="58"/>
      <c r="AH53" s="59"/>
      <c r="AI53" s="59"/>
      <c r="AJ53" s="59"/>
      <c r="AK53" s="59"/>
      <c r="AL53" s="59"/>
      <c r="AM53" s="60"/>
      <c r="AT53" s="1"/>
      <c r="AU53" s="1"/>
    </row>
    <row r="54" spans="2:47" ht="12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22"/>
      <c r="W54" s="173" t="s">
        <v>50</v>
      </c>
      <c r="X54" s="174"/>
      <c r="Y54" s="174"/>
      <c r="Z54" s="175"/>
      <c r="AA54" s="40">
        <f>SUM(AA29:AF53)</f>
        <v>30000</v>
      </c>
      <c r="AB54" s="41"/>
      <c r="AC54" s="41"/>
      <c r="AD54" s="41"/>
      <c r="AE54" s="41"/>
      <c r="AF54" s="42"/>
      <c r="AG54" s="22"/>
      <c r="AH54" s="22"/>
      <c r="AI54" s="22"/>
      <c r="AJ54" s="22"/>
      <c r="AK54" s="22"/>
      <c r="AL54" s="22"/>
      <c r="AM54" s="22"/>
      <c r="AT54" s="1"/>
      <c r="AU54" s="1"/>
    </row>
    <row r="55" spans="2:47" ht="12.75" customHeight="1">
      <c r="W55" s="173" t="s">
        <v>51</v>
      </c>
      <c r="X55" s="174"/>
      <c r="Y55" s="174"/>
      <c r="Z55" s="175"/>
      <c r="AA55" s="40">
        <v>3000</v>
      </c>
      <c r="AB55" s="41"/>
      <c r="AC55" s="41"/>
      <c r="AD55" s="41"/>
      <c r="AE55" s="41"/>
      <c r="AF55" s="42"/>
      <c r="AG55" s="22"/>
      <c r="AH55" s="22"/>
      <c r="AI55" s="22"/>
      <c r="AJ55" s="22"/>
      <c r="AK55" s="22"/>
      <c r="AL55" s="22"/>
      <c r="AM55" s="22"/>
      <c r="AT55" s="1"/>
      <c r="AU55" s="1"/>
    </row>
    <row r="56" spans="2:47" ht="12.75" customHeight="1">
      <c r="W56" s="173" t="s">
        <v>52</v>
      </c>
      <c r="X56" s="174"/>
      <c r="Y56" s="174"/>
      <c r="Z56" s="175"/>
      <c r="AA56" s="40">
        <f>SUM(AA54:AA55)</f>
        <v>33000</v>
      </c>
      <c r="AB56" s="41"/>
      <c r="AC56" s="41"/>
      <c r="AD56" s="41"/>
      <c r="AE56" s="41"/>
      <c r="AF56" s="42"/>
      <c r="AG56" s="22"/>
      <c r="AH56" s="22"/>
      <c r="AI56" s="22"/>
      <c r="AJ56" s="22"/>
      <c r="AK56" s="22"/>
      <c r="AL56" s="22"/>
      <c r="AM56" s="22"/>
      <c r="AT56" s="1"/>
      <c r="AU56" s="1"/>
    </row>
    <row r="57" spans="2:47" ht="15.75" customHeight="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T57" s="1"/>
      <c r="AU57" s="1"/>
    </row>
    <row r="58" spans="2:47" ht="12.75" customHeight="1">
      <c r="B58" s="28" t="s">
        <v>130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6"/>
      <c r="AT58" s="1"/>
      <c r="AU58" s="1"/>
    </row>
    <row r="59" spans="2:47" ht="12.75" customHeight="1"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9"/>
      <c r="AT59" s="1"/>
      <c r="AU59" s="1"/>
    </row>
    <row r="60" spans="2:47" ht="12.75" customHeight="1"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2"/>
      <c r="AT60" s="1"/>
      <c r="AU60" s="1"/>
    </row>
    <row r="61" spans="2:47" ht="5.45" customHeight="1">
      <c r="Q61" s="22"/>
      <c r="W61" s="23"/>
      <c r="X61" s="23"/>
      <c r="Y61" s="23"/>
      <c r="Z61" s="23"/>
      <c r="AA61" s="24"/>
      <c r="AB61" s="25"/>
      <c r="AC61" s="25"/>
      <c r="AD61" s="25"/>
      <c r="AE61" s="25"/>
      <c r="AF61" s="25"/>
      <c r="AG61" s="22"/>
      <c r="AH61" s="22"/>
      <c r="AI61" s="22"/>
      <c r="AJ61" s="22"/>
      <c r="AK61" s="22"/>
      <c r="AL61" s="22"/>
      <c r="AM61" s="22"/>
      <c r="AT61" s="1"/>
      <c r="AU61" s="1"/>
    </row>
    <row r="62" spans="2:47" ht="3.6" hidden="1" customHeight="1"/>
    <row r="63" spans="2:47" ht="7.15" hidden="1" customHeight="1"/>
    <row r="64" spans="2:47" ht="12.75" customHeight="1">
      <c r="T64" s="26"/>
      <c r="U64" s="26"/>
    </row>
    <row r="65" spans="20:21" ht="12.75" customHeight="1">
      <c r="T65" s="26"/>
      <c r="U65" s="26"/>
    </row>
    <row r="66" spans="20:21" ht="12.75" customHeight="1"/>
    <row r="67" spans="20:21" ht="12.75" customHeight="1"/>
    <row r="68" spans="20:21" ht="12.75" customHeight="1"/>
    <row r="69" spans="20:21" ht="13.5" customHeight="1"/>
    <row r="70" spans="20:21" ht="13.5" customHeight="1"/>
    <row r="71" spans="20:21" ht="13.5" customHeight="1"/>
  </sheetData>
  <sheetProtection selectLockedCells="1" selectUnlockedCells="1"/>
  <mergeCells count="188">
    <mergeCell ref="AA28:AF28"/>
    <mergeCell ref="B30:P30"/>
    <mergeCell ref="Q30:S30"/>
    <mergeCell ref="T30:V30"/>
    <mergeCell ref="W30:Z30"/>
    <mergeCell ref="AA30:AF30"/>
    <mergeCell ref="AG30:AM30"/>
    <mergeCell ref="AG28:AM28"/>
    <mergeCell ref="B29:P29"/>
    <mergeCell ref="Q29:S29"/>
    <mergeCell ref="T29:V29"/>
    <mergeCell ref="W29:Z29"/>
    <mergeCell ref="AA29:AF29"/>
    <mergeCell ref="AG29:AM29"/>
    <mergeCell ref="B28:P28"/>
    <mergeCell ref="Q28:S28"/>
    <mergeCell ref="T28:V28"/>
    <mergeCell ref="W28:Z28"/>
    <mergeCell ref="P2:Y4"/>
    <mergeCell ref="AT4:AU5"/>
    <mergeCell ref="B5:L5"/>
    <mergeCell ref="AC5:AM5"/>
    <mergeCell ref="B8:S12"/>
    <mergeCell ref="Z9:AM13"/>
    <mergeCell ref="D23:I23"/>
    <mergeCell ref="K23:AF23"/>
    <mergeCell ref="D24:I24"/>
    <mergeCell ref="K24:Q24"/>
    <mergeCell ref="S24:Y24"/>
    <mergeCell ref="AH24:AJ26"/>
    <mergeCell ref="C15:Y15"/>
    <mergeCell ref="C17:K19"/>
    <mergeCell ref="L17:Y19"/>
    <mergeCell ref="D21:I21"/>
    <mergeCell ref="K21:AF21"/>
    <mergeCell ref="D22:I22"/>
    <mergeCell ref="K22:AF22"/>
    <mergeCell ref="AK24:AM26"/>
    <mergeCell ref="D25:I25"/>
    <mergeCell ref="K25:Y25"/>
    <mergeCell ref="D26:I26"/>
    <mergeCell ref="K26:Y26"/>
    <mergeCell ref="B32:P32"/>
    <mergeCell ref="Q32:S32"/>
    <mergeCell ref="T32:V32"/>
    <mergeCell ref="W32:Z32"/>
    <mergeCell ref="AA32:AF32"/>
    <mergeCell ref="AG32:AM32"/>
    <mergeCell ref="B31:P31"/>
    <mergeCell ref="Q31:S31"/>
    <mergeCell ref="T31:V31"/>
    <mergeCell ref="W31:Z31"/>
    <mergeCell ref="AA31:AF31"/>
    <mergeCell ref="AG31:AM31"/>
    <mergeCell ref="B34:P34"/>
    <mergeCell ref="Q34:S34"/>
    <mergeCell ref="T34:V34"/>
    <mergeCell ref="W34:Z34"/>
    <mergeCell ref="AA34:AF34"/>
    <mergeCell ref="AG34:AM34"/>
    <mergeCell ref="B33:P33"/>
    <mergeCell ref="Q33:S33"/>
    <mergeCell ref="T33:V33"/>
    <mergeCell ref="W33:Z33"/>
    <mergeCell ref="AA33:AF33"/>
    <mergeCell ref="AG33:AM33"/>
    <mergeCell ref="B36:P36"/>
    <mergeCell ref="Q36:S36"/>
    <mergeCell ref="T36:V36"/>
    <mergeCell ref="W36:Z36"/>
    <mergeCell ref="AA36:AF36"/>
    <mergeCell ref="AG36:AM36"/>
    <mergeCell ref="B35:P35"/>
    <mergeCell ref="Q35:S35"/>
    <mergeCell ref="T35:V35"/>
    <mergeCell ref="W35:Z35"/>
    <mergeCell ref="AA35:AF35"/>
    <mergeCell ref="AG35:AM35"/>
    <mergeCell ref="B38:P38"/>
    <mergeCell ref="Q38:S38"/>
    <mergeCell ref="T38:V38"/>
    <mergeCell ref="W38:Z38"/>
    <mergeCell ref="AA38:AF38"/>
    <mergeCell ref="AG38:AM38"/>
    <mergeCell ref="B37:P37"/>
    <mergeCell ref="Q37:S37"/>
    <mergeCell ref="T37:V37"/>
    <mergeCell ref="W37:Z37"/>
    <mergeCell ref="AA37:AF37"/>
    <mergeCell ref="AG37:AM37"/>
    <mergeCell ref="B40:P40"/>
    <mergeCell ref="Q40:S40"/>
    <mergeCell ref="T40:V40"/>
    <mergeCell ref="W40:Z40"/>
    <mergeCell ref="AA40:AF40"/>
    <mergeCell ref="AG40:AM40"/>
    <mergeCell ref="B39:P39"/>
    <mergeCell ref="Q39:S39"/>
    <mergeCell ref="T39:V39"/>
    <mergeCell ref="W39:Z39"/>
    <mergeCell ref="AA39:AF39"/>
    <mergeCell ref="AG39:AM39"/>
    <mergeCell ref="B42:P42"/>
    <mergeCell ref="Q42:S42"/>
    <mergeCell ref="T42:V42"/>
    <mergeCell ref="W42:Z42"/>
    <mergeCell ref="AA42:AF42"/>
    <mergeCell ref="AG42:AM42"/>
    <mergeCell ref="B41:P41"/>
    <mergeCell ref="Q41:S41"/>
    <mergeCell ref="T41:V41"/>
    <mergeCell ref="W41:Z41"/>
    <mergeCell ref="AA41:AF41"/>
    <mergeCell ref="AG41:AM41"/>
    <mergeCell ref="B44:P44"/>
    <mergeCell ref="Q44:S44"/>
    <mergeCell ref="T44:V44"/>
    <mergeCell ref="W44:Z44"/>
    <mergeCell ref="AA44:AF44"/>
    <mergeCell ref="AG44:AM44"/>
    <mergeCell ref="B43:P43"/>
    <mergeCell ref="Q43:S43"/>
    <mergeCell ref="T43:V43"/>
    <mergeCell ref="W43:Z43"/>
    <mergeCell ref="AA43:AF43"/>
    <mergeCell ref="AG43:AM43"/>
    <mergeCell ref="B46:P46"/>
    <mergeCell ref="Q46:S46"/>
    <mergeCell ref="T46:V46"/>
    <mergeCell ref="W46:Z46"/>
    <mergeCell ref="AA46:AF46"/>
    <mergeCell ref="AG46:AM46"/>
    <mergeCell ref="B45:P45"/>
    <mergeCell ref="Q45:S45"/>
    <mergeCell ref="T45:V45"/>
    <mergeCell ref="W45:Z45"/>
    <mergeCell ref="AA45:AF45"/>
    <mergeCell ref="AG45:AM45"/>
    <mergeCell ref="B48:P48"/>
    <mergeCell ref="Q48:S48"/>
    <mergeCell ref="T48:V48"/>
    <mergeCell ref="W48:Z48"/>
    <mergeCell ref="AA48:AF48"/>
    <mergeCell ref="AG48:AM48"/>
    <mergeCell ref="B47:P47"/>
    <mergeCell ref="Q47:S47"/>
    <mergeCell ref="T47:V47"/>
    <mergeCell ref="W47:Z47"/>
    <mergeCell ref="AA47:AF47"/>
    <mergeCell ref="AG47:AM47"/>
    <mergeCell ref="B50:P50"/>
    <mergeCell ref="Q50:S50"/>
    <mergeCell ref="T50:V50"/>
    <mergeCell ref="W50:Z50"/>
    <mergeCell ref="AA50:AF50"/>
    <mergeCell ref="AG50:AM50"/>
    <mergeCell ref="B49:P49"/>
    <mergeCell ref="Q49:S49"/>
    <mergeCell ref="T49:V49"/>
    <mergeCell ref="W49:Z49"/>
    <mergeCell ref="AA49:AF49"/>
    <mergeCell ref="AG49:AM49"/>
    <mergeCell ref="B52:P52"/>
    <mergeCell ref="Q52:S52"/>
    <mergeCell ref="T52:V52"/>
    <mergeCell ref="W52:Z52"/>
    <mergeCell ref="AA52:AF52"/>
    <mergeCell ref="AG52:AM52"/>
    <mergeCell ref="B51:P51"/>
    <mergeCell ref="Q51:S51"/>
    <mergeCell ref="T51:V51"/>
    <mergeCell ref="W51:Z51"/>
    <mergeCell ref="AA51:AF51"/>
    <mergeCell ref="AG51:AM51"/>
    <mergeCell ref="B57:AM57"/>
    <mergeCell ref="B58:AM60"/>
    <mergeCell ref="W54:Z54"/>
    <mergeCell ref="AA54:AF54"/>
    <mergeCell ref="W55:Z55"/>
    <mergeCell ref="AA55:AF55"/>
    <mergeCell ref="W56:Z56"/>
    <mergeCell ref="AA56:AF56"/>
    <mergeCell ref="B53:P53"/>
    <mergeCell ref="Q53:S53"/>
    <mergeCell ref="T53:V53"/>
    <mergeCell ref="W53:Z53"/>
    <mergeCell ref="AA53:AF53"/>
    <mergeCell ref="AG53:AM53"/>
  </mergeCells>
  <phoneticPr fontId="1"/>
  <dataValidations count="7">
    <dataValidation imeMode="off" allowBlank="1" showInputMessage="1" showErrorMessage="1" sqref="AU7 AU15 Q29:S53 W29:Z53" xr:uid="{8C42ADCE-8078-4F6D-8D86-C8D78EE441CA}"/>
    <dataValidation imeMode="on" allowBlank="1" showInputMessage="1" showErrorMessage="1" sqref="B8:S12 Z9:AM13 C15:Y15 K21:AF23 K25:Y25 B29:P53 T29:V53 AG29:AM53 B58:AM60" xr:uid="{999F390F-8FE6-4E04-AB73-1F993C9814E8}"/>
    <dataValidation type="whole" imeMode="off" allowBlank="1" showInputMessage="1" showErrorMessage="1" sqref="BD19 AU13 AU19 AU23" xr:uid="{2C2406E1-8C70-4045-A0C6-B0E98BC4A4D4}">
      <formula1>1</formula1>
      <formula2>31</formula2>
    </dataValidation>
    <dataValidation type="whole" imeMode="off" allowBlank="1" showInputMessage="1" showErrorMessage="1" sqref="BD18 AU12 AU18 AU22" xr:uid="{550DA6FB-FBDE-437E-B8FA-1B55EC823F6D}">
      <formula1>1</formula1>
      <formula2>12</formula2>
    </dataValidation>
    <dataValidation type="whole" imeMode="off" allowBlank="1" showInputMessage="1" showErrorMessage="1" sqref="BD17 AU11 AU17 AU21" xr:uid="{496F2C39-3B6A-4C00-821F-010A6971FB0E}">
      <formula1>1970</formula1>
      <formula2>2100</formula2>
    </dataValidation>
    <dataValidation type="list" allowBlank="1" showInputMessage="1" showErrorMessage="1" sqref="AU9" xr:uid="{D8D1A693-430F-4099-AD4E-7BB842D728AE}">
      <formula1>$AV$9:$AX$9</formula1>
    </dataValidation>
    <dataValidation type="list" allowBlank="1" showInputMessage="1" showErrorMessage="1" sqref="AU6" xr:uid="{25877497-85B3-4129-AD2C-93997876BB2C}">
      <formula1>$AV$6:$AX$6</formula1>
    </dataValidation>
  </dataValidations>
  <printOptions horizontalCentered="1"/>
  <pageMargins left="0.59055118110236227" right="0.59055118110236227" top="0.78740157480314965" bottom="0.78740157480314965" header="0" footer="0"/>
  <pageSetup paperSize="9" orientation="portrait" horizontalDpi="4294967293" r:id="rId1"/>
  <headerFooter scaleWithDoc="0"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TB Co.,Ltd.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TB</dc:creator>
  <cp:keywords/>
  <dc:description/>
  <cp:lastModifiedBy>直也 竹本</cp:lastModifiedBy>
  <cp:revision/>
  <dcterms:created xsi:type="dcterms:W3CDTF">2017-02-24T11:45:35Z</dcterms:created>
  <dcterms:modified xsi:type="dcterms:W3CDTF">2026-06-27T03:18:12Z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81a78137-34f8-4710-9bee-c87cd01fa150</vt:lpwstr>
  </property>
</Properties>
</file>